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dimasaka/Desktop/PhD/GitHub/M78MaasimSaranganiEarthquakeRisk/results/expectedN/"/>
    </mc:Choice>
  </mc:AlternateContent>
  <xr:revisionPtr revIDLastSave="0" documentId="8_{C8FB708F-ADBD-FA41-A7B0-7CAA17422666}" xr6:coauthVersionLast="47" xr6:coauthVersionMax="47" xr10:uidLastSave="{00000000-0000-0000-0000-000000000000}"/>
  <bookViews>
    <workbookView xWindow="420" yWindow="11460" windowWidth="30000" windowHeight="8740" xr2:uid="{515E151D-AF91-9C42-A27E-A9EA3EAB23C3}"/>
  </bookViews>
  <sheets>
    <sheet name="adm2_risk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<sst xmlns="http://schemas.openxmlformats.org/spreadsheetml/2006/main" count="20" uniqueCount="20">
  <si>
    <t>adm1_psgc</t>
  </si>
  <si>
    <t>adm2_psgc</t>
  </si>
  <si>
    <t>adm2_en</t>
  </si>
  <si>
    <t>Davao del Norte</t>
  </si>
  <si>
    <t>Davao del Sur</t>
  </si>
  <si>
    <t>Davao Oriental</t>
  </si>
  <si>
    <t>Davao de Oro</t>
  </si>
  <si>
    <t>Davao Occidental</t>
  </si>
  <si>
    <t>Cotabato</t>
  </si>
  <si>
    <t>South Cotabato</t>
  </si>
  <si>
    <t>Sultan Kudarat</t>
  </si>
  <si>
    <t>Sarangani</t>
  </si>
  <si>
    <t>adm1_en</t>
  </si>
  <si>
    <t>Average Severe Damage Probability</t>
  </si>
  <si>
    <t>Average Collapse Damage Probability</t>
  </si>
  <si>
    <t>High-risk Building Count (Top 10%)</t>
  </si>
  <si>
    <t>High-Risk Concentration (Top 10%)</t>
  </si>
  <si>
    <t>Expected number of damaged buildings</t>
  </si>
  <si>
    <t>Expected number of severely damaged buildings</t>
  </si>
  <si>
    <t>Expected number of collapsed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</si>
</sst>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shuadimasaka/Desktop/PhD/GitHub/M78MaasimSaranganiEarthquakeRisk/results/expectedN/regionResults.xlsx" TargetMode="External"/><Relationship Id="rId1" Type="http://schemas.openxmlformats.org/officeDocument/2006/relationships/externalLinkPath" Target="region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m1_risk"/>
    </sheetNames>
    <sheetDataSet>
      <sheetData sheetId="0">
        <row r="1">
          <cell r="A1" t="str">
            <v>adm1_psgc</v>
          </cell>
          <cell r="B1" t="str">
            <v>adm1_en</v>
          </cell>
        </row>
        <row r="2">
          <cell r="A2">
            <v>1100000000</v>
          </cell>
          <cell r="B2" t="str">
            <v>Region XI (Davao Region)</v>
          </cell>
        </row>
        <row r="3">
          <cell r="A3">
            <v>1200000000</v>
          </cell>
          <cell r="B3" t="str">
            <v>Region XII (SOCCSKSARGEN)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A48F-2F38-4B46-AFBC-4702ACEB7914}">
  <dimension ref="A1:K10"/>
  <sheetViews>
    <sheetView tabSelected="1" topLeftCell="A4" workbookViewId="0">
      <selection activeCell="F7" sqref="F7"/>
    </sheetView>
  </sheetViews>
  <sheetFormatPr baseColWidth="10" defaultRowHeight="16" x14ac:dyDescent="0.2"/>
  <sheetData>
    <row r="1" spans="1:11" ht="85" x14ac:dyDescent="0.2">
      <c r="A1" s="4" t="s">
        <v>0</v>
      </c>
      <c r="B1" s="1" t="s">
        <v>12</v>
      </c>
      <c r="C1" s="4" t="s">
        <v>1</v>
      </c>
      <c r="D1" s="4" t="s">
        <v>2</v>
      </c>
      <c r="E1" s="2" t="s">
        <v>13</v>
      </c>
      <c r="F1" s="2" t="s">
        <v>14</v>
      </c>
      <c r="G1" s="3" t="s">
        <v>15</v>
      </c>
      <c r="H1" s="2" t="s">
        <v>16</v>
      </c>
      <c r="I1" s="1" t="s">
        <v>17</v>
      </c>
      <c r="J1" s="1" t="s">
        <v>18</v>
      </c>
      <c r="K1" s="1" t="s">
        <v>19</v>
      </c>
    </row>
    <row r="2" spans="1:11" x14ac:dyDescent="0.2">
      <c r="A2">
        <v>1100000000</v>
      </c>
      <c r="B2" t="str">
        <f>VLOOKUP(A2, [1]adm1_risk!$A:$B, 2, FALSE)</f>
        <v>Region XI (Davao Region)</v>
      </c>
      <c r="C2">
        <v>1102300000</v>
      </c>
      <c r="D2" t="s">
        <v>3</v>
      </c>
      <c r="E2" s="5">
        <v>1.10769967293239E-2</v>
      </c>
      <c r="F2" s="5">
        <v>8.0863104495336002E-4</v>
      </c>
      <c r="G2" s="6">
        <v>0</v>
      </c>
      <c r="H2" s="5">
        <v>0</v>
      </c>
      <c r="I2" s="6">
        <v>11306.8933090849</v>
      </c>
      <c r="J2" s="6">
        <v>7991.2704021535701</v>
      </c>
      <c r="K2" s="6">
        <v>367.859200446003</v>
      </c>
    </row>
    <row r="3" spans="1:11" x14ac:dyDescent="0.2">
      <c r="A3">
        <v>1100000000</v>
      </c>
      <c r="B3" t="str">
        <f>VLOOKUP(A3, [1]adm1_risk!$A:$B, 2, FALSE)</f>
        <v>Region XI (Davao Region)</v>
      </c>
      <c r="C3">
        <v>1102400000</v>
      </c>
      <c r="D3" t="s">
        <v>4</v>
      </c>
      <c r="E3" s="5">
        <v>5.6777993574227199E-2</v>
      </c>
      <c r="F3" s="5">
        <v>4.3889221520106098E-3</v>
      </c>
      <c r="G3" s="6">
        <v>0</v>
      </c>
      <c r="H3" s="5">
        <v>0</v>
      </c>
      <c r="I3" s="6">
        <v>38626.204337378796</v>
      </c>
      <c r="J3" s="6">
        <v>30314.4176137348</v>
      </c>
      <c r="K3" s="6">
        <v>1400.3690021198699</v>
      </c>
    </row>
    <row r="4" spans="1:11" x14ac:dyDescent="0.2">
      <c r="A4">
        <v>1100000000</v>
      </c>
      <c r="B4" t="str">
        <f>VLOOKUP(A4, [1]adm1_risk!$A:$B, 2, FALSE)</f>
        <v>Region XI (Davao Region)</v>
      </c>
      <c r="C4">
        <v>1102500000</v>
      </c>
      <c r="D4" t="s">
        <v>5</v>
      </c>
      <c r="E4" s="5">
        <v>7.4529974666883896E-3</v>
      </c>
      <c r="F4" s="5">
        <v>5.3138038787758099E-4</v>
      </c>
      <c r="G4" s="6">
        <v>0</v>
      </c>
      <c r="H4" s="5">
        <v>0</v>
      </c>
      <c r="I4" s="6">
        <v>4056.8299917507602</v>
      </c>
      <c r="J4" s="6">
        <v>2917.3384347859201</v>
      </c>
      <c r="K4" s="6">
        <v>130.15524944595899</v>
      </c>
    </row>
    <row r="5" spans="1:11" x14ac:dyDescent="0.2">
      <c r="A5">
        <v>1100000000</v>
      </c>
      <c r="B5" t="str">
        <f>VLOOKUP(A5, [1]adm1_risk!$A:$B, 2, FALSE)</f>
        <v>Region XI (Davao Region)</v>
      </c>
      <c r="C5">
        <v>1108200000</v>
      </c>
      <c r="D5" t="s">
        <v>6</v>
      </c>
      <c r="E5" s="5">
        <v>3.7682739462889E-3</v>
      </c>
      <c r="F5" s="5">
        <v>2.5769066794973202E-4</v>
      </c>
      <c r="G5" s="6">
        <v>0</v>
      </c>
      <c r="H5" s="5">
        <v>0</v>
      </c>
      <c r="I5" s="6">
        <v>2887.5135286680502</v>
      </c>
      <c r="J5" s="6">
        <v>1957.18020084009</v>
      </c>
      <c r="K5" s="6">
        <v>86.054767799141203</v>
      </c>
    </row>
    <row r="6" spans="1:11" x14ac:dyDescent="0.2">
      <c r="A6">
        <v>1100000000</v>
      </c>
      <c r="B6" t="str">
        <f>VLOOKUP(A6, [1]adm1_risk!$A:$B, 2, FALSE)</f>
        <v>Region XI (Davao Region)</v>
      </c>
      <c r="C6">
        <v>1108600000</v>
      </c>
      <c r="D6" t="s">
        <v>7</v>
      </c>
      <c r="E6" s="5">
        <v>7.0241063566323397E-2</v>
      </c>
      <c r="F6" s="5">
        <v>4.0380321048346197E-3</v>
      </c>
      <c r="G6" s="6">
        <v>697</v>
      </c>
      <c r="H6" s="5">
        <v>7.8062875894587096E-3</v>
      </c>
      <c r="I6" s="6">
        <v>12956.9754694894</v>
      </c>
      <c r="J6" s="6">
        <v>10681.5721167226</v>
      </c>
      <c r="K6" s="6">
        <v>360.54377254436798</v>
      </c>
    </row>
    <row r="7" spans="1:11" x14ac:dyDescent="0.2">
      <c r="A7">
        <v>1200000000</v>
      </c>
      <c r="B7" t="str">
        <f>VLOOKUP(A7, [1]adm1_risk!$A:$B, 2, FALSE)</f>
        <v>Region XII (SOCCSKSARGEN)</v>
      </c>
      <c r="C7">
        <v>1204700000</v>
      </c>
      <c r="D7" t="s">
        <v>8</v>
      </c>
      <c r="E7" s="5">
        <v>2.59353466755575E-2</v>
      </c>
      <c r="F7" s="5">
        <v>1.9798098244518301E-3</v>
      </c>
      <c r="G7" s="6">
        <v>0</v>
      </c>
      <c r="H7" s="5">
        <v>0</v>
      </c>
      <c r="I7" s="6">
        <v>31940.960659255499</v>
      </c>
      <c r="J7" s="6">
        <v>23930.408629087298</v>
      </c>
      <c r="K7" s="6">
        <v>1116.87803550731</v>
      </c>
    </row>
    <row r="8" spans="1:11" x14ac:dyDescent="0.2">
      <c r="A8">
        <v>1200000000</v>
      </c>
      <c r="B8" t="str">
        <f>VLOOKUP(A8, [1]adm1_risk!$A:$B, 2, FALSE)</f>
        <v>Region XII (SOCCSKSARGEN)</v>
      </c>
      <c r="C8">
        <v>1206300000</v>
      </c>
      <c r="D8" t="s">
        <v>9</v>
      </c>
      <c r="E8" s="5">
        <v>0.12615863749183401</v>
      </c>
      <c r="F8" s="5">
        <v>1.03670998944196E-2</v>
      </c>
      <c r="G8" s="6">
        <v>44390</v>
      </c>
      <c r="H8" s="5">
        <v>9.3982296013533098E-2</v>
      </c>
      <c r="I8" s="6">
        <v>125804.50735768399</v>
      </c>
      <c r="J8" s="6">
        <v>100953.04545699</v>
      </c>
      <c r="K8" s="6">
        <v>4896.6197234319498</v>
      </c>
    </row>
    <row r="9" spans="1:11" x14ac:dyDescent="0.2">
      <c r="A9">
        <v>1200000000</v>
      </c>
      <c r="B9" t="str">
        <f>VLOOKUP(A9, [1]adm1_risk!$A:$B, 2, FALSE)</f>
        <v>Region XII (SOCCSKSARGEN)</v>
      </c>
      <c r="C9">
        <v>1206500000</v>
      </c>
      <c r="D9" t="s">
        <v>10</v>
      </c>
      <c r="E9" s="5">
        <v>7.0994304455115995E-2</v>
      </c>
      <c r="F9" s="5">
        <v>5.6900374845908503E-3</v>
      </c>
      <c r="G9" s="6">
        <v>0</v>
      </c>
      <c r="H9" s="5">
        <v>0</v>
      </c>
      <c r="I9" s="6">
        <v>52307.485243244497</v>
      </c>
      <c r="J9" s="6">
        <v>40877.359924413096</v>
      </c>
      <c r="K9" s="6">
        <v>1956.05849604031</v>
      </c>
    </row>
    <row r="10" spans="1:11" x14ac:dyDescent="0.2">
      <c r="A10">
        <v>1200000000</v>
      </c>
      <c r="B10" t="str">
        <f>VLOOKUP(A10, [1]adm1_risk!$A:$B, 2, FALSE)</f>
        <v>Region XII (SOCCSKSARGEN)</v>
      </c>
      <c r="C10">
        <v>1208000000</v>
      </c>
      <c r="D10" t="s">
        <v>11</v>
      </c>
      <c r="E10" s="5">
        <v>0.156422488146406</v>
      </c>
      <c r="F10" s="5">
        <v>1.19349539626246E-2</v>
      </c>
      <c r="G10" s="6">
        <v>81064</v>
      </c>
      <c r="H10" s="5">
        <v>0.35460446886318697</v>
      </c>
      <c r="I10" s="6">
        <v>73770.629667654895</v>
      </c>
      <c r="J10" s="6">
        <v>61397.8089954631</v>
      </c>
      <c r="K10" s="6">
        <v>2728.3782156718398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adm2_risk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Dimasaka</cp:lastModifiedBy>
  <dcterms:created xsi:type="dcterms:W3CDTF">2026-06-11T10:38:45Z</dcterms:created>
  <dcterms:modified xsi:type="dcterms:W3CDTF">2026-06-11T10:38:45Z</dcterms:modified>
</cp:coreProperties>
</file>