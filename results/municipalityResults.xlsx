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uadimasaka/Desktop/PhD/GitHub/M78MaasimSaranganiEarthquakeRisk/results/expectedN/"/>
    </mc:Choice>
  </mc:AlternateContent>
  <xr:revisionPtr revIDLastSave="0" documentId="13_ncr:9_{4298B4F4-9515-8049-9099-3A0224AD363F}" xr6:coauthVersionLast="47" xr6:coauthVersionMax="47" xr10:uidLastSave="{00000000-0000-0000-0000-000000000000}"/>
  <bookViews>
    <workbookView xWindow="80" yWindow="840" windowWidth="28320" windowHeight="11640" xr2:uid="{D54AF95D-33CC-294B-B403-5F061A0ACC85}"/>
  </bookViews>
  <sheets>
    <sheet name="adm3_risk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2" i="1"/>
</calcChain>
</file>

<file path=xl/sharedStrings.xml><?xml version="1.0" encoding="utf-8"?>
<sst xmlns="http://schemas.openxmlformats.org/spreadsheetml/2006/main" count="113" uniqueCount="110">
  <si>
    <t>adm1_psgc</t>
  </si>
  <si>
    <t>adm2_psgc</t>
  </si>
  <si>
    <t>adm3_psgc</t>
  </si>
  <si>
    <t>adm3_en</t>
  </si>
  <si>
    <t>Asuncion</t>
  </si>
  <si>
    <t>Carmen</t>
  </si>
  <si>
    <t>Kapalong</t>
  </si>
  <si>
    <t>New Corella</t>
  </si>
  <si>
    <t>City of Panabo</t>
  </si>
  <si>
    <t>Island Garden City of Samal</t>
  </si>
  <si>
    <t>Santo Tomas</t>
  </si>
  <si>
    <t>City of Tagum</t>
  </si>
  <si>
    <t>Talaingod</t>
  </si>
  <si>
    <t>Braulio E. Dujali</t>
  </si>
  <si>
    <t>San Isidro</t>
  </si>
  <si>
    <t>Bansalan</t>
  </si>
  <si>
    <t>City of Digos</t>
  </si>
  <si>
    <t>Hagonoy</t>
  </si>
  <si>
    <t>Kiblawan</t>
  </si>
  <si>
    <t>Magsaysay</t>
  </si>
  <si>
    <t>Malalag</t>
  </si>
  <si>
    <t>Matanao</t>
  </si>
  <si>
    <t>Padada</t>
  </si>
  <si>
    <t>Santa Cruz</t>
  </si>
  <si>
    <t>Sulop</t>
  </si>
  <si>
    <t>Baganga</t>
  </si>
  <si>
    <t>Banaybanay</t>
  </si>
  <si>
    <t>Boston</t>
  </si>
  <si>
    <t>Caraga</t>
  </si>
  <si>
    <t>Cateel</t>
  </si>
  <si>
    <t>Governor Generoso</t>
  </si>
  <si>
    <t>Lupon</t>
  </si>
  <si>
    <t>Manay</t>
  </si>
  <si>
    <t>City of Mati</t>
  </si>
  <si>
    <t>Tarragona</t>
  </si>
  <si>
    <t>Compostela</t>
  </si>
  <si>
    <t>Laak</t>
  </si>
  <si>
    <t>Mabini</t>
  </si>
  <si>
    <t>Maco</t>
  </si>
  <si>
    <t>Maragusan</t>
  </si>
  <si>
    <t>Mawab</t>
  </si>
  <si>
    <t>Monkayo</t>
  </si>
  <si>
    <t>Montevista</t>
  </si>
  <si>
    <t>Nabunturan</t>
  </si>
  <si>
    <t>New Bataan</t>
  </si>
  <si>
    <t>Pantukan</t>
  </si>
  <si>
    <t>Don Marcelino</t>
  </si>
  <si>
    <t>Jose Abad Santos</t>
  </si>
  <si>
    <t>Malita</t>
  </si>
  <si>
    <t>Santa Maria</t>
  </si>
  <si>
    <t>Sarangani</t>
  </si>
  <si>
    <t>City of Davao</t>
  </si>
  <si>
    <t>Alamada</t>
  </si>
  <si>
    <t>Kabacan</t>
  </si>
  <si>
    <t>City of Kidapawan</t>
  </si>
  <si>
    <t>Libungan</t>
  </si>
  <si>
    <t>Magpet</t>
  </si>
  <si>
    <t>Makilala</t>
  </si>
  <si>
    <t>Matalam</t>
  </si>
  <si>
    <t>Midsayap</t>
  </si>
  <si>
    <t>M'Lang</t>
  </si>
  <si>
    <t>Pigkawayan</t>
  </si>
  <si>
    <t>Pikit</t>
  </si>
  <si>
    <t>President Roxas</t>
  </si>
  <si>
    <t>Tulunan</t>
  </si>
  <si>
    <t>Antipas</t>
  </si>
  <si>
    <t>Banisilan</t>
  </si>
  <si>
    <t>Aleosan</t>
  </si>
  <si>
    <t>Arakan</t>
  </si>
  <si>
    <t>Banga</t>
  </si>
  <si>
    <t>City of Koronadal</t>
  </si>
  <si>
    <t>Norala</t>
  </si>
  <si>
    <t>Polomolok</t>
  </si>
  <si>
    <t>Surallah</t>
  </si>
  <si>
    <t>Tampakan</t>
  </si>
  <si>
    <t>Tantangan</t>
  </si>
  <si>
    <t>T'Boli</t>
  </si>
  <si>
    <t>Tupi</t>
  </si>
  <si>
    <t>Santo Ni√±o</t>
  </si>
  <si>
    <t>Lake Sebu</t>
  </si>
  <si>
    <t>Bagumbayan</t>
  </si>
  <si>
    <t>Columbio</t>
  </si>
  <si>
    <t>Esperanza</t>
  </si>
  <si>
    <t>Isulan</t>
  </si>
  <si>
    <t>Kalamansig</t>
  </si>
  <si>
    <t>Lebak</t>
  </si>
  <si>
    <t>Lutayan</t>
  </si>
  <si>
    <t>Lambayong</t>
  </si>
  <si>
    <t>Palimbang</t>
  </si>
  <si>
    <t>President Quirino</t>
  </si>
  <si>
    <t>City of Tacurong</t>
  </si>
  <si>
    <t>Sen. Ninoy Aquino</t>
  </si>
  <si>
    <t>Alabel</t>
  </si>
  <si>
    <t>Glan</t>
  </si>
  <si>
    <t>Kiamba</t>
  </si>
  <si>
    <t>Maasim</t>
  </si>
  <si>
    <t>Maitum</t>
  </si>
  <si>
    <t>Malapatan</t>
  </si>
  <si>
    <t>Malungon</t>
  </si>
  <si>
    <t>City of General Santos</t>
  </si>
  <si>
    <t>Average Severe Damage Probability</t>
  </si>
  <si>
    <t>Average Collapse Damage Probability</t>
  </si>
  <si>
    <t>High-risk Building Count (Top 10%)</t>
  </si>
  <si>
    <t>High-Risk Concentration (Top 10%)</t>
  </si>
  <si>
    <t>Expected number of damaged buildings</t>
  </si>
  <si>
    <t>Expected number of severely damaged buildings</t>
  </si>
  <si>
    <t>Expected number of collapsed buildings</t>
  </si>
  <si>
    <t>adm1_en</t>
  </si>
  <si>
    <t>adm2_en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</si>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</sst>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0" fontId="0" fillId="0" borderId="0" xfId="2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10" fontId="0" fillId="0" borderId="0" xfId="2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9" fontId="0" fillId="0" borderId="0" xfId="2" applyFont="1" applyAlignment="1">
      <alignment horizontal="center" vertical="center" wrapText="1"/>
    </xf>
    <xf numFmtId="9" fontId="0" fillId="0" borderId="0" xfId="2" applyFont="1" applyAlignment="1">
      <alignment horizontal="center" vertical="center"/>
    </xf>
    <xf numFmtId="9" fontId="0" fillId="0" borderId="0" xfId="2" applyFon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shuadimasaka/Desktop/PhD/GitHub/M78MaasimSaranganiEarthquakeRisk/results/expectedN/provinceResults.xlsx" TargetMode="External"/><Relationship Id="rId1" Type="http://schemas.openxmlformats.org/officeDocument/2006/relationships/externalLinkPath" Target="province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dm2_risk"/>
    </sheetNames>
    <sheetDataSet>
      <sheetData sheetId="0">
        <row r="1">
          <cell r="A1" t="str">
            <v>adm1_psgc</v>
          </cell>
          <cell r="B1" t="str">
            <v>adm1_en</v>
          </cell>
          <cell r="C1" t="str">
            <v>adm2_psgc</v>
          </cell>
          <cell r="D1" t="str">
            <v>adm2_en</v>
          </cell>
        </row>
        <row r="2">
          <cell r="A2">
            <v>1100000000</v>
          </cell>
          <cell r="B2" t="str">
            <v>Region XI (Davao Region)</v>
          </cell>
          <cell r="C2">
            <v>1102300000</v>
          </cell>
          <cell r="D2" t="str">
            <v>Davao del Norte</v>
          </cell>
        </row>
        <row r="3">
          <cell r="A3">
            <v>1100000000</v>
          </cell>
          <cell r="B3" t="str">
            <v>Region XI (Davao Region)</v>
          </cell>
          <cell r="C3">
            <v>1102400000</v>
          </cell>
          <cell r="D3" t="str">
            <v>Davao del Sur</v>
          </cell>
        </row>
        <row r="4">
          <cell r="A4">
            <v>1100000000</v>
          </cell>
          <cell r="B4" t="str">
            <v>Region XI (Davao Region)</v>
          </cell>
          <cell r="C4">
            <v>1102500000</v>
          </cell>
          <cell r="D4" t="str">
            <v>Davao Oriental</v>
          </cell>
        </row>
        <row r="5">
          <cell r="A5">
            <v>1100000000</v>
          </cell>
          <cell r="B5" t="str">
            <v>Region XI (Davao Region)</v>
          </cell>
          <cell r="C5">
            <v>1108200000</v>
          </cell>
          <cell r="D5" t="str">
            <v>Davao de Oro</v>
          </cell>
        </row>
        <row r="6">
          <cell r="A6">
            <v>1100000000</v>
          </cell>
          <cell r="B6" t="str">
            <v>Region XI (Davao Region)</v>
          </cell>
          <cell r="C6">
            <v>1108600000</v>
          </cell>
          <cell r="D6" t="str">
            <v>Davao Occidental</v>
          </cell>
        </row>
        <row r="7">
          <cell r="A7">
            <v>1200000000</v>
          </cell>
          <cell r="B7" t="str">
            <v>Region XII (SOCCSKSARGEN)</v>
          </cell>
          <cell r="C7">
            <v>1204700000</v>
          </cell>
          <cell r="D7" t="str">
            <v>Cotabato</v>
          </cell>
        </row>
        <row r="8">
          <cell r="A8">
            <v>1200000000</v>
          </cell>
          <cell r="B8" t="str">
            <v>Region XII (SOCCSKSARGEN)</v>
          </cell>
          <cell r="C8">
            <v>1206300000</v>
          </cell>
          <cell r="D8" t="str">
            <v>South Cotabato</v>
          </cell>
        </row>
        <row r="9">
          <cell r="A9">
            <v>1200000000</v>
          </cell>
          <cell r="B9" t="str">
            <v>Region XII (SOCCSKSARGEN)</v>
          </cell>
          <cell r="C9">
            <v>1206500000</v>
          </cell>
          <cell r="D9" t="str">
            <v>Sultan Kudarat</v>
          </cell>
        </row>
        <row r="10">
          <cell r="A10">
            <v>1200000000</v>
          </cell>
          <cell r="B10" t="str">
            <v>Region XII (SOCCSKSARGEN)</v>
          </cell>
          <cell r="C10">
            <v>1208000000</v>
          </cell>
          <cell r="D10" t="str">
            <v>Sarangani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9CE6D-BAAD-1049-BA7C-2483552685D6}">
  <dimension ref="A1:M99"/>
  <sheetViews>
    <sheetView tabSelected="1" topLeftCell="A28" workbookViewId="0">
      <selection activeCell="J2" sqref="J2"/>
    </sheetView>
  </sheetViews>
  <sheetFormatPr baseColWidth="10" defaultRowHeight="16" x14ac:dyDescent="0.2"/>
  <cols>
    <col min="10" max="10" width="10.83203125" style="10"/>
  </cols>
  <sheetData>
    <row r="1" spans="1:13" ht="85" x14ac:dyDescent="0.2">
      <c r="A1" s="4" t="s">
        <v>0</v>
      </c>
      <c r="B1" s="3" t="s">
        <v>107</v>
      </c>
      <c r="C1" s="4" t="s">
        <v>1</v>
      </c>
      <c r="D1" s="4" t="s">
        <v>108</v>
      </c>
      <c r="E1" s="4" t="s">
        <v>2</v>
      </c>
      <c r="F1" s="4" t="s">
        <v>3</v>
      </c>
      <c r="G1" s="1" t="s">
        <v>100</v>
      </c>
      <c r="H1" s="1" t="s">
        <v>101</v>
      </c>
      <c r="I1" s="2" t="s">
        <v>102</v>
      </c>
      <c r="J1" s="8" t="s">
        <v>103</v>
      </c>
      <c r="K1" s="3" t="s">
        <v>104</v>
      </c>
      <c r="L1" s="3" t="s">
        <v>105</v>
      </c>
      <c r="M1" s="3" t="s">
        <v>106</v>
      </c>
    </row>
    <row r="2" spans="1:13" x14ac:dyDescent="0.2">
      <c r="A2">
        <v>1100000000</v>
      </c>
      <c r="B2" t="str">
        <f>VLOOKUP(A2,[1]adm2_risk!$A:$B,2, FALSE)</f>
        <v>Region XI (Davao Region)</v>
      </c>
      <c r="C2">
        <v>1102300000</v>
      </c>
      <c r="D2" t="str">
        <f>VLOOKUP(C2, [1]adm2_risk!$C:$D, 2, FALSE)</f>
        <v>Davao del Norte</v>
      </c>
      <c r="E2">
        <v>1102301000</v>
      </c>
      <c r="F2" t="s">
        <v>4</v>
      </c>
      <c r="G2" s="6">
        <v>9.1952164270712507E-3</v>
      </c>
      <c r="H2" s="6">
        <v>6.4581449590952295E-4</v>
      </c>
      <c r="I2" s="7">
        <v>0</v>
      </c>
      <c r="J2" s="9">
        <v>0</v>
      </c>
      <c r="K2" s="7">
        <v>543.07678202845602</v>
      </c>
      <c r="L2" s="7">
        <v>383.21561289366599</v>
      </c>
      <c r="M2" s="7">
        <v>17.010753822256799</v>
      </c>
    </row>
    <row r="3" spans="1:13" x14ac:dyDescent="0.2">
      <c r="A3">
        <v>1100000000</v>
      </c>
      <c r="B3" t="str">
        <f>VLOOKUP(A3,[1]adm2_risk!$A:$B,2, FALSE)</f>
        <v>Region XI (Davao Region)</v>
      </c>
      <c r="C3">
        <v>1102300000</v>
      </c>
      <c r="D3" t="str">
        <f>VLOOKUP(C3, [1]adm2_risk!$C:$D, 2, FALSE)</f>
        <v>Davao del Norte</v>
      </c>
      <c r="E3">
        <v>1102303000</v>
      </c>
      <c r="F3" t="s">
        <v>5</v>
      </c>
      <c r="G3" s="6">
        <v>1.5582137415246999E-2</v>
      </c>
      <c r="H3" s="6">
        <v>1.15861720179499E-3</v>
      </c>
      <c r="I3" s="7">
        <v>0</v>
      </c>
      <c r="J3" s="9">
        <v>0</v>
      </c>
      <c r="K3" s="7">
        <v>1239.7774301414499</v>
      </c>
      <c r="L3" s="7">
        <v>887.40444863396499</v>
      </c>
      <c r="M3" s="7">
        <v>41.347572080457702</v>
      </c>
    </row>
    <row r="4" spans="1:13" x14ac:dyDescent="0.2">
      <c r="A4">
        <v>1100000000</v>
      </c>
      <c r="B4" t="str">
        <f>VLOOKUP(A4,[1]adm2_risk!$A:$B,2, FALSE)</f>
        <v>Region XI (Davao Region)</v>
      </c>
      <c r="C4">
        <v>1102300000</v>
      </c>
      <c r="D4" t="str">
        <f>VLOOKUP(C4, [1]adm2_risk!$C:$D, 2, FALSE)</f>
        <v>Davao del Norte</v>
      </c>
      <c r="E4">
        <v>1102305000</v>
      </c>
      <c r="F4" t="s">
        <v>6</v>
      </c>
      <c r="G4" s="6">
        <v>7.5293818986642402E-3</v>
      </c>
      <c r="H4" s="6">
        <v>5.3576946045458403E-4</v>
      </c>
      <c r="I4" s="7">
        <v>0</v>
      </c>
      <c r="J4" s="9">
        <v>0</v>
      </c>
      <c r="K4" s="7">
        <v>471.71378728265398</v>
      </c>
      <c r="L4" s="7">
        <v>328.50761672270198</v>
      </c>
      <c r="M4" s="7">
        <v>14.852600982722</v>
      </c>
    </row>
    <row r="5" spans="1:13" x14ac:dyDescent="0.2">
      <c r="A5">
        <v>1100000000</v>
      </c>
      <c r="B5" t="str">
        <f>VLOOKUP(A5,[1]adm2_risk!$A:$B,2, FALSE)</f>
        <v>Region XI (Davao Region)</v>
      </c>
      <c r="C5">
        <v>1102300000</v>
      </c>
      <c r="D5" t="str">
        <f>VLOOKUP(C5, [1]adm2_risk!$C:$D, 2, FALSE)</f>
        <v>Davao del Norte</v>
      </c>
      <c r="E5">
        <v>1102314000</v>
      </c>
      <c r="F5" t="s">
        <v>7</v>
      </c>
      <c r="G5" s="6">
        <v>7.2722938948700903E-3</v>
      </c>
      <c r="H5" s="6">
        <v>5.06783174548165E-4</v>
      </c>
      <c r="I5" s="7">
        <v>0</v>
      </c>
      <c r="J5" s="9">
        <v>0</v>
      </c>
      <c r="K5" s="7">
        <v>417.66573825412598</v>
      </c>
      <c r="L5" s="7">
        <v>290.221945382944</v>
      </c>
      <c r="M5" s="7">
        <v>12.8651976690797</v>
      </c>
    </row>
    <row r="6" spans="1:13" x14ac:dyDescent="0.2">
      <c r="A6">
        <v>1100000000</v>
      </c>
      <c r="B6" t="str">
        <f>VLOOKUP(A6,[1]adm2_risk!$A:$B,2, FALSE)</f>
        <v>Region XI (Davao Region)</v>
      </c>
      <c r="C6">
        <v>1102300000</v>
      </c>
      <c r="D6" t="str">
        <f>VLOOKUP(C6, [1]adm2_risk!$C:$D, 2, FALSE)</f>
        <v>Davao del Norte</v>
      </c>
      <c r="E6">
        <v>1102315000</v>
      </c>
      <c r="F6" t="s">
        <v>8</v>
      </c>
      <c r="G6" s="6">
        <v>1.4330016905209599E-2</v>
      </c>
      <c r="H6" s="6">
        <v>1.0780819887401499E-3</v>
      </c>
      <c r="I6" s="7">
        <v>0</v>
      </c>
      <c r="J6" s="9">
        <v>0</v>
      </c>
      <c r="K6" s="7">
        <v>2583.2449747993101</v>
      </c>
      <c r="L6" s="7">
        <v>1841.9568281516399</v>
      </c>
      <c r="M6" s="7">
        <v>86.930063080073296</v>
      </c>
    </row>
    <row r="7" spans="1:13" x14ac:dyDescent="0.2">
      <c r="A7">
        <v>1100000000</v>
      </c>
      <c r="B7" t="str">
        <f>VLOOKUP(A7,[1]adm2_risk!$A:$B,2, FALSE)</f>
        <v>Region XI (Davao Region)</v>
      </c>
      <c r="C7">
        <v>1102300000</v>
      </c>
      <c r="D7" t="str">
        <f>VLOOKUP(C7, [1]adm2_risk!$C:$D, 2, FALSE)</f>
        <v>Davao del Norte</v>
      </c>
      <c r="E7">
        <v>1102317000</v>
      </c>
      <c r="F7" t="s">
        <v>9</v>
      </c>
      <c r="G7" s="6">
        <v>7.5404324925492797E-3</v>
      </c>
      <c r="H7" s="6">
        <v>4.9563116283778401E-4</v>
      </c>
      <c r="I7" s="7">
        <v>0</v>
      </c>
      <c r="J7" s="9">
        <v>0</v>
      </c>
      <c r="K7" s="7">
        <v>1083.26136223906</v>
      </c>
      <c r="L7" s="7">
        <v>761.53186239936201</v>
      </c>
      <c r="M7" s="7">
        <v>31.7521148160398</v>
      </c>
    </row>
    <row r="8" spans="1:13" x14ac:dyDescent="0.2">
      <c r="A8">
        <v>1100000000</v>
      </c>
      <c r="B8" t="str">
        <f>VLOOKUP(A8,[1]adm2_risk!$A:$B,2, FALSE)</f>
        <v>Region XI (Davao Region)</v>
      </c>
      <c r="C8">
        <v>1102300000</v>
      </c>
      <c r="D8" t="str">
        <f>VLOOKUP(C8, [1]adm2_risk!$C:$D, 2, FALSE)</f>
        <v>Davao del Norte</v>
      </c>
      <c r="E8">
        <v>1102318000</v>
      </c>
      <c r="F8" t="s">
        <v>10</v>
      </c>
      <c r="G8" s="6">
        <v>1.1379366367197901E-2</v>
      </c>
      <c r="H8" s="6">
        <v>8.3890187850727796E-4</v>
      </c>
      <c r="I8" s="7">
        <v>0</v>
      </c>
      <c r="J8" s="9">
        <v>0</v>
      </c>
      <c r="K8" s="7">
        <v>1126.51276216882</v>
      </c>
      <c r="L8" s="7">
        <v>789.75733133423603</v>
      </c>
      <c r="M8" s="7">
        <v>36.844570504039702</v>
      </c>
    </row>
    <row r="9" spans="1:13" x14ac:dyDescent="0.2">
      <c r="A9">
        <v>1100000000</v>
      </c>
      <c r="B9" t="str">
        <f>VLOOKUP(A9,[1]adm2_risk!$A:$B,2, FALSE)</f>
        <v>Region XI (Davao Region)</v>
      </c>
      <c r="C9">
        <v>1102300000</v>
      </c>
      <c r="D9" t="str">
        <f>VLOOKUP(C9, [1]adm2_risk!$C:$D, 2, FALSE)</f>
        <v>Davao del Norte</v>
      </c>
      <c r="E9">
        <v>1102319000</v>
      </c>
      <c r="F9" t="s">
        <v>11</v>
      </c>
      <c r="G9" s="6">
        <v>1.2610043859922E-2</v>
      </c>
      <c r="H9" s="6">
        <v>9.4016703552207497E-4</v>
      </c>
      <c r="I9" s="7">
        <v>0</v>
      </c>
      <c r="J9" s="9">
        <v>0</v>
      </c>
      <c r="K9" s="7">
        <v>3314.0254477201001</v>
      </c>
      <c r="L9" s="7">
        <v>2335.0813389985601</v>
      </c>
      <c r="M9" s="7">
        <v>109.851936931506</v>
      </c>
    </row>
    <row r="10" spans="1:13" x14ac:dyDescent="0.2">
      <c r="A10">
        <v>1100000000</v>
      </c>
      <c r="B10" t="str">
        <f>VLOOKUP(A10,[1]adm2_risk!$A:$B,2, FALSE)</f>
        <v>Region XI (Davao Region)</v>
      </c>
      <c r="C10">
        <v>1102300000</v>
      </c>
      <c r="D10" t="str">
        <f>VLOOKUP(C10, [1]adm2_risk!$C:$D, 2, FALSE)</f>
        <v>Davao del Norte</v>
      </c>
      <c r="E10">
        <v>1102322000</v>
      </c>
      <c r="F10" t="s">
        <v>12</v>
      </c>
      <c r="G10" s="6">
        <v>2.0379072025076802E-3</v>
      </c>
      <c r="H10" s="6">
        <v>1.08198853980734E-4</v>
      </c>
      <c r="I10" s="7">
        <v>0</v>
      </c>
      <c r="J10" s="9">
        <v>0</v>
      </c>
      <c r="K10" s="7">
        <v>49.846607667391098</v>
      </c>
      <c r="L10" s="7">
        <v>33.930309238536097</v>
      </c>
      <c r="M10" s="7">
        <v>1.1632458791468701</v>
      </c>
    </row>
    <row r="11" spans="1:13" x14ac:dyDescent="0.2">
      <c r="A11">
        <v>1100000000</v>
      </c>
      <c r="B11" t="str">
        <f>VLOOKUP(A11,[1]adm2_risk!$A:$B,2, FALSE)</f>
        <v>Region XI (Davao Region)</v>
      </c>
      <c r="C11">
        <v>1102300000</v>
      </c>
      <c r="D11" t="str">
        <f>VLOOKUP(C11, [1]adm2_risk!$C:$D, 2, FALSE)</f>
        <v>Davao del Norte</v>
      </c>
      <c r="E11">
        <v>1102323000</v>
      </c>
      <c r="F11" t="s">
        <v>13</v>
      </c>
      <c r="G11" s="6">
        <v>1.50484536555161E-2</v>
      </c>
      <c r="H11" s="6">
        <v>1.11502051891926E-3</v>
      </c>
      <c r="I11" s="7">
        <v>0</v>
      </c>
      <c r="J11" s="9">
        <v>0</v>
      </c>
      <c r="K11" s="7">
        <v>410.17639078751603</v>
      </c>
      <c r="L11" s="7">
        <v>293.29490265900699</v>
      </c>
      <c r="M11" s="7">
        <v>13.6322408643068</v>
      </c>
    </row>
    <row r="12" spans="1:13" x14ac:dyDescent="0.2">
      <c r="A12">
        <v>1100000000</v>
      </c>
      <c r="B12" t="str">
        <f>VLOOKUP(A12,[1]adm2_risk!$A:$B,2, FALSE)</f>
        <v>Region XI (Davao Region)</v>
      </c>
      <c r="C12">
        <v>1102300000</v>
      </c>
      <c r="D12" t="str">
        <f>VLOOKUP(C12, [1]adm2_risk!$C:$D, 2, FALSE)</f>
        <v>Davao del Norte</v>
      </c>
      <c r="E12">
        <v>1102324000</v>
      </c>
      <c r="F12" t="s">
        <v>14</v>
      </c>
      <c r="G12" s="6">
        <v>2.6317038741173701E-3</v>
      </c>
      <c r="H12" s="6">
        <v>1.4184111931391701E-4</v>
      </c>
      <c r="I12" s="7">
        <v>0</v>
      </c>
      <c r="J12" s="9">
        <v>0</v>
      </c>
      <c r="K12" s="7">
        <v>67.592025996016403</v>
      </c>
      <c r="L12" s="7">
        <v>46.368205738980798</v>
      </c>
      <c r="M12" s="7">
        <v>1.60890381637777</v>
      </c>
    </row>
    <row r="13" spans="1:13" x14ac:dyDescent="0.2">
      <c r="A13">
        <v>1100000000</v>
      </c>
      <c r="B13" t="str">
        <f>VLOOKUP(A13,[1]adm2_risk!$A:$B,2, FALSE)</f>
        <v>Region XI (Davao Region)</v>
      </c>
      <c r="C13">
        <v>1102400000</v>
      </c>
      <c r="D13" t="str">
        <f>VLOOKUP(C13, [1]adm2_risk!$C:$D, 2, FALSE)</f>
        <v>Davao del Sur</v>
      </c>
      <c r="E13">
        <v>1102401000</v>
      </c>
      <c r="F13" t="s">
        <v>15</v>
      </c>
      <c r="G13" s="6">
        <v>4.5234847623045797E-2</v>
      </c>
      <c r="H13" s="6">
        <v>3.6489668217313202E-3</v>
      </c>
      <c r="I13" s="7">
        <v>0</v>
      </c>
      <c r="J13" s="9">
        <v>0</v>
      </c>
      <c r="K13" s="7">
        <v>3160.3205655746901</v>
      </c>
      <c r="L13" s="7">
        <v>2416.9607140381399</v>
      </c>
      <c r="M13" s="7">
        <v>117.788649005487</v>
      </c>
    </row>
    <row r="14" spans="1:13" x14ac:dyDescent="0.2">
      <c r="A14">
        <v>1100000000</v>
      </c>
      <c r="B14" t="str">
        <f>VLOOKUP(A14,[1]adm2_risk!$A:$B,2, FALSE)</f>
        <v>Region XI (Davao Region)</v>
      </c>
      <c r="C14">
        <v>1102400000</v>
      </c>
      <c r="D14" t="str">
        <f>VLOOKUP(C14, [1]adm2_risk!$C:$D, 2, FALSE)</f>
        <v>Davao del Sur</v>
      </c>
      <c r="E14">
        <v>1102403000</v>
      </c>
      <c r="F14" t="s">
        <v>16</v>
      </c>
      <c r="G14" s="6">
        <v>5.4981994004124499E-2</v>
      </c>
      <c r="H14" s="6">
        <v>4.5830876719276104E-3</v>
      </c>
      <c r="I14" s="7">
        <v>0</v>
      </c>
      <c r="J14" s="9">
        <v>0</v>
      </c>
      <c r="K14" s="7">
        <v>9908.4812730286703</v>
      </c>
      <c r="L14" s="7">
        <v>7567.9470059633904</v>
      </c>
      <c r="M14" s="7">
        <v>380.32753045491302</v>
      </c>
    </row>
    <row r="15" spans="1:13" x14ac:dyDescent="0.2">
      <c r="A15">
        <v>1100000000</v>
      </c>
      <c r="B15" t="str">
        <f>VLOOKUP(A15,[1]adm2_risk!$A:$B,2, FALSE)</f>
        <v>Region XI (Davao Region)</v>
      </c>
      <c r="C15">
        <v>1102400000</v>
      </c>
      <c r="D15" t="str">
        <f>VLOOKUP(C15, [1]adm2_risk!$C:$D, 2, FALSE)</f>
        <v>Davao del Sur</v>
      </c>
      <c r="E15">
        <v>1102404000</v>
      </c>
      <c r="F15" t="s">
        <v>17</v>
      </c>
      <c r="G15" s="6">
        <v>7.8519467279098906E-2</v>
      </c>
      <c r="H15" s="6">
        <v>6.48852302499992E-3</v>
      </c>
      <c r="I15" s="7">
        <v>0</v>
      </c>
      <c r="J15" s="9">
        <v>0</v>
      </c>
      <c r="K15" s="7">
        <v>4617.8824648983</v>
      </c>
      <c r="L15" s="7">
        <v>3647.24933435307</v>
      </c>
      <c r="M15" s="7">
        <v>179.342776410998</v>
      </c>
    </row>
    <row r="16" spans="1:13" x14ac:dyDescent="0.2">
      <c r="A16">
        <v>1100000000</v>
      </c>
      <c r="B16" t="str">
        <f>VLOOKUP(A16,[1]adm2_risk!$A:$B,2, FALSE)</f>
        <v>Region XI (Davao Region)</v>
      </c>
      <c r="C16">
        <v>1102400000</v>
      </c>
      <c r="D16" t="str">
        <f>VLOOKUP(C16, [1]adm2_risk!$C:$D, 2, FALSE)</f>
        <v>Davao del Sur</v>
      </c>
      <c r="E16">
        <v>1102406000</v>
      </c>
      <c r="F16" t="s">
        <v>18</v>
      </c>
      <c r="G16" s="6">
        <v>6.44047977090626E-2</v>
      </c>
      <c r="H16" s="6">
        <v>3.6074588669446901E-3</v>
      </c>
      <c r="I16" s="7">
        <v>0</v>
      </c>
      <c r="J16" s="9">
        <v>0</v>
      </c>
      <c r="K16" s="7">
        <v>3183.0593809054899</v>
      </c>
      <c r="L16" s="7">
        <v>2634.2004119200801</v>
      </c>
      <c r="M16" s="7">
        <v>86.625909771942801</v>
      </c>
    </row>
    <row r="17" spans="1:13" x14ac:dyDescent="0.2">
      <c r="A17">
        <v>1100000000</v>
      </c>
      <c r="B17" t="str">
        <f>VLOOKUP(A17,[1]adm2_risk!$A:$B,2, FALSE)</f>
        <v>Region XI (Davao Region)</v>
      </c>
      <c r="C17">
        <v>1102400000</v>
      </c>
      <c r="D17" t="str">
        <f>VLOOKUP(C17, [1]adm2_risk!$C:$D, 2, FALSE)</f>
        <v>Davao del Sur</v>
      </c>
      <c r="E17">
        <v>1102407000</v>
      </c>
      <c r="F17" t="s">
        <v>19</v>
      </c>
      <c r="G17" s="6">
        <v>4.9214439882572E-2</v>
      </c>
      <c r="H17" s="6">
        <v>3.4641406784746E-3</v>
      </c>
      <c r="I17" s="7">
        <v>0</v>
      </c>
      <c r="J17" s="9">
        <v>0</v>
      </c>
      <c r="K17" s="7">
        <v>3341.7323547678302</v>
      </c>
      <c r="L17" s="7">
        <v>2624.2085017468098</v>
      </c>
      <c r="M17" s="7">
        <v>110.592691160302</v>
      </c>
    </row>
    <row r="18" spans="1:13" x14ac:dyDescent="0.2">
      <c r="A18">
        <v>1100000000</v>
      </c>
      <c r="B18" t="str">
        <f>VLOOKUP(A18,[1]adm2_risk!$A:$B,2, FALSE)</f>
        <v>Region XI (Davao Region)</v>
      </c>
      <c r="C18">
        <v>1102400000</v>
      </c>
      <c r="D18" t="str">
        <f>VLOOKUP(C18, [1]adm2_risk!$C:$D, 2, FALSE)</f>
        <v>Davao del Sur</v>
      </c>
      <c r="E18">
        <v>1102408000</v>
      </c>
      <c r="F18" t="s">
        <v>20</v>
      </c>
      <c r="G18" s="6">
        <v>7.1161714698278505E-2</v>
      </c>
      <c r="H18" s="6">
        <v>5.2215330049603303E-3</v>
      </c>
      <c r="I18" s="7">
        <v>0</v>
      </c>
      <c r="J18" s="9">
        <v>0</v>
      </c>
      <c r="K18" s="7">
        <v>2268.5815883764399</v>
      </c>
      <c r="L18" s="7">
        <v>1815.1223729671699</v>
      </c>
      <c r="M18" s="7">
        <v>78.970465167020095</v>
      </c>
    </row>
    <row r="19" spans="1:13" x14ac:dyDescent="0.2">
      <c r="A19">
        <v>1100000000</v>
      </c>
      <c r="B19" t="str">
        <f>VLOOKUP(A19,[1]adm2_risk!$A:$B,2, FALSE)</f>
        <v>Region XI (Davao Region)</v>
      </c>
      <c r="C19">
        <v>1102400000</v>
      </c>
      <c r="D19" t="str">
        <f>VLOOKUP(C19, [1]adm2_risk!$C:$D, 2, FALSE)</f>
        <v>Davao del Sur</v>
      </c>
      <c r="E19">
        <v>1102410000</v>
      </c>
      <c r="F19" t="s">
        <v>21</v>
      </c>
      <c r="G19" s="6">
        <v>6.8834623062410102E-2</v>
      </c>
      <c r="H19" s="6">
        <v>5.4053816023933096E-3</v>
      </c>
      <c r="I19" s="7">
        <v>0</v>
      </c>
      <c r="J19" s="9">
        <v>0</v>
      </c>
      <c r="K19" s="7">
        <v>4765.0460997820001</v>
      </c>
      <c r="L19" s="7">
        <v>3802.33004042722</v>
      </c>
      <c r="M19" s="7">
        <v>177.37219190093401</v>
      </c>
    </row>
    <row r="20" spans="1:13" x14ac:dyDescent="0.2">
      <c r="A20">
        <v>1100000000</v>
      </c>
      <c r="B20" t="str">
        <f>VLOOKUP(A20,[1]adm2_risk!$A:$B,2, FALSE)</f>
        <v>Region XI (Davao Region)</v>
      </c>
      <c r="C20">
        <v>1102400000</v>
      </c>
      <c r="D20" t="str">
        <f>VLOOKUP(C20, [1]adm2_risk!$C:$D, 2, FALSE)</f>
        <v>Davao del Sur</v>
      </c>
      <c r="E20">
        <v>1102411000</v>
      </c>
      <c r="F20" t="s">
        <v>22</v>
      </c>
      <c r="G20" s="6">
        <v>8.5926717303991207E-2</v>
      </c>
      <c r="H20" s="6">
        <v>7.21402171071158E-3</v>
      </c>
      <c r="I20" s="7">
        <v>0</v>
      </c>
      <c r="J20" s="9">
        <v>0</v>
      </c>
      <c r="K20" s="7">
        <v>2714.2078058920101</v>
      </c>
      <c r="L20" s="7">
        <v>2161.7687698898399</v>
      </c>
      <c r="M20" s="7">
        <v>107.61156185868499</v>
      </c>
    </row>
    <row r="21" spans="1:13" x14ac:dyDescent="0.2">
      <c r="A21">
        <v>1100000000</v>
      </c>
      <c r="B21" t="str">
        <f>VLOOKUP(A21,[1]adm2_risk!$A:$B,2, FALSE)</f>
        <v>Region XI (Davao Region)</v>
      </c>
      <c r="C21">
        <v>1102400000</v>
      </c>
      <c r="D21" t="str">
        <f>VLOOKUP(C21, [1]adm2_risk!$C:$D, 2, FALSE)</f>
        <v>Davao del Sur</v>
      </c>
      <c r="E21">
        <v>1102412000</v>
      </c>
      <c r="F21" t="s">
        <v>23</v>
      </c>
      <c r="G21" s="6">
        <v>2.02251233743935E-2</v>
      </c>
      <c r="H21" s="6">
        <v>1.51852697028467E-3</v>
      </c>
      <c r="I21" s="7">
        <v>0</v>
      </c>
      <c r="J21" s="9">
        <v>0</v>
      </c>
      <c r="K21" s="7">
        <v>1726.41755965323</v>
      </c>
      <c r="L21" s="7">
        <v>1269.8572186305501</v>
      </c>
      <c r="M21" s="7">
        <v>58.938587297659097</v>
      </c>
    </row>
    <row r="22" spans="1:13" x14ac:dyDescent="0.2">
      <c r="A22">
        <v>1100000000</v>
      </c>
      <c r="B22" t="str">
        <f>VLOOKUP(A22,[1]adm2_risk!$A:$B,2, FALSE)</f>
        <v>Region XI (Davao Region)</v>
      </c>
      <c r="C22">
        <v>1102400000</v>
      </c>
      <c r="D22" t="str">
        <f>VLOOKUP(C22, [1]adm2_risk!$C:$D, 2, FALSE)</f>
        <v>Davao del Sur</v>
      </c>
      <c r="E22">
        <v>1102414000</v>
      </c>
      <c r="F22" t="s">
        <v>24</v>
      </c>
      <c r="G22" s="6">
        <v>7.5626622048552805E-2</v>
      </c>
      <c r="H22" s="6">
        <v>5.5393166877862202E-3</v>
      </c>
      <c r="I22" s="7">
        <v>0</v>
      </c>
      <c r="J22" s="9">
        <v>0</v>
      </c>
      <c r="K22" s="7">
        <v>2940.47524450013</v>
      </c>
      <c r="L22" s="7">
        <v>2374.7732437987602</v>
      </c>
      <c r="M22" s="7">
        <v>102.79863909193701</v>
      </c>
    </row>
    <row r="23" spans="1:13" x14ac:dyDescent="0.2">
      <c r="A23">
        <v>1100000000</v>
      </c>
      <c r="B23" t="str">
        <f>VLOOKUP(A23,[1]adm2_risk!$A:$B,2, FALSE)</f>
        <v>Region XI (Davao Region)</v>
      </c>
      <c r="C23">
        <v>1102500000</v>
      </c>
      <c r="D23" t="str">
        <f>VLOOKUP(C23, [1]adm2_risk!$C:$D, 2, FALSE)</f>
        <v>Davao Oriental</v>
      </c>
      <c r="E23">
        <v>1102501000</v>
      </c>
      <c r="F23" t="s">
        <v>25</v>
      </c>
      <c r="G23" s="6">
        <v>5.3178748963378104E-4</v>
      </c>
      <c r="H23" s="6">
        <v>3.0619208126183001E-5</v>
      </c>
      <c r="I23" s="7">
        <v>0</v>
      </c>
      <c r="J23" s="9">
        <v>0</v>
      </c>
      <c r="K23" s="7">
        <v>37.064474339480903</v>
      </c>
      <c r="L23" s="7">
        <v>22.619746621657299</v>
      </c>
      <c r="M23" s="7">
        <v>0.87393343833751502</v>
      </c>
    </row>
    <row r="24" spans="1:13" x14ac:dyDescent="0.2">
      <c r="A24">
        <v>1100000000</v>
      </c>
      <c r="B24" t="str">
        <f>VLOOKUP(A24,[1]adm2_risk!$A:$B,2, FALSE)</f>
        <v>Region XI (Davao Region)</v>
      </c>
      <c r="C24">
        <v>1102500000</v>
      </c>
      <c r="D24" t="str">
        <f>VLOOKUP(C24, [1]adm2_risk!$C:$D, 2, FALSE)</f>
        <v>Davao Oriental</v>
      </c>
      <c r="E24">
        <v>1102502000</v>
      </c>
      <c r="F24" t="s">
        <v>26</v>
      </c>
      <c r="G24" s="6">
        <v>1.8276221952263701E-2</v>
      </c>
      <c r="H24" s="6">
        <v>1.3904684403210101E-3</v>
      </c>
      <c r="I24" s="7">
        <v>0</v>
      </c>
      <c r="J24" s="9">
        <v>0</v>
      </c>
      <c r="K24" s="7">
        <v>631.14930071894105</v>
      </c>
      <c r="L24" s="7">
        <v>460.86196909122498</v>
      </c>
      <c r="M24" s="7">
        <v>21.748316875060901</v>
      </c>
    </row>
    <row r="25" spans="1:13" x14ac:dyDescent="0.2">
      <c r="A25">
        <v>1100000000</v>
      </c>
      <c r="B25" t="str">
        <f>VLOOKUP(A25,[1]adm2_risk!$A:$B,2, FALSE)</f>
        <v>Region XI (Davao Region)</v>
      </c>
      <c r="C25">
        <v>1102500000</v>
      </c>
      <c r="D25" t="str">
        <f>VLOOKUP(C25, [1]adm2_risk!$C:$D, 2, FALSE)</f>
        <v>Davao Oriental</v>
      </c>
      <c r="E25">
        <v>1102503000</v>
      </c>
      <c r="F25" t="s">
        <v>27</v>
      </c>
      <c r="G25" s="6">
        <v>1.14236580578561E-4</v>
      </c>
      <c r="H25" s="6">
        <v>4.7885323409594401E-6</v>
      </c>
      <c r="I25" s="7">
        <v>0</v>
      </c>
      <c r="J25" s="9">
        <v>0</v>
      </c>
      <c r="K25" s="7">
        <v>2.6859062628860899</v>
      </c>
      <c r="L25" s="7">
        <v>1.58979923393279</v>
      </c>
      <c r="M25" s="7">
        <v>4.5400075124636403E-2</v>
      </c>
    </row>
    <row r="26" spans="1:13" x14ac:dyDescent="0.2">
      <c r="A26">
        <v>1100000000</v>
      </c>
      <c r="B26" t="str">
        <f>VLOOKUP(A26,[1]adm2_risk!$A:$B,2, FALSE)</f>
        <v>Region XI (Davao Region)</v>
      </c>
      <c r="C26">
        <v>1102500000</v>
      </c>
      <c r="D26" t="str">
        <f>VLOOKUP(C26, [1]adm2_risk!$C:$D, 2, FALSE)</f>
        <v>Davao Oriental</v>
      </c>
      <c r="E26">
        <v>1102504000</v>
      </c>
      <c r="F26" t="s">
        <v>28</v>
      </c>
      <c r="G26" s="6">
        <v>6.5362378852790604E-4</v>
      </c>
      <c r="H26" s="6">
        <v>3.2547730767891002E-5</v>
      </c>
      <c r="I26" s="7">
        <v>0</v>
      </c>
      <c r="J26" s="9">
        <v>0</v>
      </c>
      <c r="K26" s="7">
        <v>26.6185476333644</v>
      </c>
      <c r="L26" s="7">
        <v>17.488481112857698</v>
      </c>
      <c r="M26" s="7">
        <v>0.57091974539957602</v>
      </c>
    </row>
    <row r="27" spans="1:13" x14ac:dyDescent="0.2">
      <c r="A27">
        <v>1100000000</v>
      </c>
      <c r="B27" t="str">
        <f>VLOOKUP(A27,[1]adm2_risk!$A:$B,2, FALSE)</f>
        <v>Region XI (Davao Region)</v>
      </c>
      <c r="C27">
        <v>1102500000</v>
      </c>
      <c r="D27" t="str">
        <f>VLOOKUP(C27, [1]adm2_risk!$C:$D, 2, FALSE)</f>
        <v>Davao Oriental</v>
      </c>
      <c r="E27">
        <v>1102505000</v>
      </c>
      <c r="F27" t="s">
        <v>29</v>
      </c>
      <c r="G27" s="6">
        <v>9.7827797392784294E-4</v>
      </c>
      <c r="H27" s="6">
        <v>6.0332170101233301E-5</v>
      </c>
      <c r="I27" s="7">
        <v>0</v>
      </c>
      <c r="J27" s="9">
        <v>0</v>
      </c>
      <c r="K27" s="7">
        <v>47.113429642001897</v>
      </c>
      <c r="L27" s="7">
        <v>29.630144163721901</v>
      </c>
      <c r="M27" s="7">
        <v>1.2118319686533701</v>
      </c>
    </row>
    <row r="28" spans="1:13" x14ac:dyDescent="0.2">
      <c r="A28">
        <v>1100000000</v>
      </c>
      <c r="B28" t="str">
        <f>VLOOKUP(A28,[1]adm2_risk!$A:$B,2, FALSE)</f>
        <v>Region XI (Davao Region)</v>
      </c>
      <c r="C28">
        <v>1102500000</v>
      </c>
      <c r="D28" t="str">
        <f>VLOOKUP(C28, [1]adm2_risk!$C:$D, 2, FALSE)</f>
        <v>Davao Oriental</v>
      </c>
      <c r="E28">
        <v>1102506000</v>
      </c>
      <c r="F28" t="s">
        <v>30</v>
      </c>
      <c r="G28" s="6">
        <v>2.1022286374341399E-2</v>
      </c>
      <c r="H28" s="6">
        <v>1.5344753105381501E-3</v>
      </c>
      <c r="I28" s="7">
        <v>0</v>
      </c>
      <c r="J28" s="9">
        <v>0</v>
      </c>
      <c r="K28" s="7">
        <v>787.56495671574203</v>
      </c>
      <c r="L28" s="7">
        <v>581.23423521369205</v>
      </c>
      <c r="M28" s="7">
        <v>26.207303828681098</v>
      </c>
    </row>
    <row r="29" spans="1:13" x14ac:dyDescent="0.2">
      <c r="A29">
        <v>1100000000</v>
      </c>
      <c r="B29" t="str">
        <f>VLOOKUP(A29,[1]adm2_risk!$A:$B,2, FALSE)</f>
        <v>Region XI (Davao Region)</v>
      </c>
      <c r="C29">
        <v>1102500000</v>
      </c>
      <c r="D29" t="str">
        <f>VLOOKUP(C29, [1]adm2_risk!$C:$D, 2, FALSE)</f>
        <v>Davao Oriental</v>
      </c>
      <c r="E29">
        <v>1102507000</v>
      </c>
      <c r="F29" t="s">
        <v>31</v>
      </c>
      <c r="G29" s="6">
        <v>1.50458327093218E-2</v>
      </c>
      <c r="H29" s="6">
        <v>1.1174947561855199E-3</v>
      </c>
      <c r="I29" s="7">
        <v>0</v>
      </c>
      <c r="J29" s="9">
        <v>0</v>
      </c>
      <c r="K29" s="7">
        <v>891.15663546250801</v>
      </c>
      <c r="L29" s="7">
        <v>649.55226134528505</v>
      </c>
      <c r="M29" s="7">
        <v>29.951094455284402</v>
      </c>
    </row>
    <row r="30" spans="1:13" x14ac:dyDescent="0.2">
      <c r="A30">
        <v>1100000000</v>
      </c>
      <c r="B30" t="str">
        <f>VLOOKUP(A30,[1]adm2_risk!$A:$B,2, FALSE)</f>
        <v>Region XI (Davao Region)</v>
      </c>
      <c r="C30">
        <v>1102500000</v>
      </c>
      <c r="D30" t="str">
        <f>VLOOKUP(C30, [1]adm2_risk!$C:$D, 2, FALSE)</f>
        <v>Davao Oriental</v>
      </c>
      <c r="E30">
        <v>1102508000</v>
      </c>
      <c r="F30" t="s">
        <v>32</v>
      </c>
      <c r="G30" s="6">
        <v>8.0975805546994303E-4</v>
      </c>
      <c r="H30" s="6">
        <v>3.6962730390836499E-5</v>
      </c>
      <c r="I30" s="7">
        <v>0</v>
      </c>
      <c r="J30" s="9">
        <v>0</v>
      </c>
      <c r="K30" s="7">
        <v>31.266306028703902</v>
      </c>
      <c r="L30" s="7">
        <v>20.7498605133216</v>
      </c>
      <c r="M30" s="7">
        <v>0.61960624954159105</v>
      </c>
    </row>
    <row r="31" spans="1:13" x14ac:dyDescent="0.2">
      <c r="A31">
        <v>1100000000</v>
      </c>
      <c r="B31" t="str">
        <f>VLOOKUP(A31,[1]adm2_risk!$A:$B,2, FALSE)</f>
        <v>Region XI (Davao Region)</v>
      </c>
      <c r="C31">
        <v>1102500000</v>
      </c>
      <c r="D31" t="str">
        <f>VLOOKUP(C31, [1]adm2_risk!$C:$D, 2, FALSE)</f>
        <v>Davao Oriental</v>
      </c>
      <c r="E31">
        <v>1102509000</v>
      </c>
      <c r="F31" t="s">
        <v>33</v>
      </c>
      <c r="G31" s="6">
        <v>7.2814854631920696E-3</v>
      </c>
      <c r="H31" s="6">
        <v>4.9061278412095303E-4</v>
      </c>
      <c r="I31" s="7">
        <v>0</v>
      </c>
      <c r="J31" s="9">
        <v>0</v>
      </c>
      <c r="K31" s="7">
        <v>1136.6951630501801</v>
      </c>
      <c r="L31" s="7">
        <v>799.84085812113904</v>
      </c>
      <c r="M31" s="7">
        <v>34.1652930606149</v>
      </c>
    </row>
    <row r="32" spans="1:13" x14ac:dyDescent="0.2">
      <c r="A32">
        <v>1100000000</v>
      </c>
      <c r="B32" t="str">
        <f>VLOOKUP(A32,[1]adm2_risk!$A:$B,2, FALSE)</f>
        <v>Region XI (Davao Region)</v>
      </c>
      <c r="C32">
        <v>1102500000</v>
      </c>
      <c r="D32" t="str">
        <f>VLOOKUP(C32, [1]adm2_risk!$C:$D, 2, FALSE)</f>
        <v>Davao Oriental</v>
      </c>
      <c r="E32">
        <v>1102510000</v>
      </c>
      <c r="F32" t="s">
        <v>14</v>
      </c>
      <c r="G32" s="6">
        <v>1.35729710134069E-2</v>
      </c>
      <c r="H32" s="6">
        <v>9.7262594270403904E-4</v>
      </c>
      <c r="I32" s="7">
        <v>0</v>
      </c>
      <c r="J32" s="9">
        <v>0</v>
      </c>
      <c r="K32" s="7">
        <v>432.87228351849001</v>
      </c>
      <c r="L32" s="7">
        <v>312.105881904341</v>
      </c>
      <c r="M32" s="7">
        <v>13.9892789339122</v>
      </c>
    </row>
    <row r="33" spans="1:13" x14ac:dyDescent="0.2">
      <c r="A33">
        <v>1100000000</v>
      </c>
      <c r="B33" t="str">
        <f>VLOOKUP(A33,[1]adm2_risk!$A:$B,2, FALSE)</f>
        <v>Region XI (Davao Region)</v>
      </c>
      <c r="C33">
        <v>1102500000</v>
      </c>
      <c r="D33" t="str">
        <f>VLOOKUP(C33, [1]adm2_risk!$C:$D, 2, FALSE)</f>
        <v>Davao Oriental</v>
      </c>
      <c r="E33">
        <v>1102511000</v>
      </c>
      <c r="F33" t="s">
        <v>34</v>
      </c>
      <c r="G33" s="6">
        <v>1.5728686054159501E-3</v>
      </c>
      <c r="H33" s="6">
        <v>8.5979828028106094E-5</v>
      </c>
      <c r="I33" s="7">
        <v>0</v>
      </c>
      <c r="J33" s="9">
        <v>0</v>
      </c>
      <c r="K33" s="7">
        <v>32.642988378438702</v>
      </c>
      <c r="L33" s="7">
        <v>21.665197464744701</v>
      </c>
      <c r="M33" s="7">
        <v>0.77227081534844899</v>
      </c>
    </row>
    <row r="34" spans="1:13" x14ac:dyDescent="0.2">
      <c r="A34">
        <v>1100000000</v>
      </c>
      <c r="B34" t="str">
        <f>VLOOKUP(A34,[1]adm2_risk!$A:$B,2, FALSE)</f>
        <v>Region XI (Davao Region)</v>
      </c>
      <c r="C34">
        <v>1108200000</v>
      </c>
      <c r="D34" t="str">
        <f>VLOOKUP(C34, [1]adm2_risk!$C:$D, 2, FALSE)</f>
        <v>Davao de Oro</v>
      </c>
      <c r="E34">
        <v>1108201000</v>
      </c>
      <c r="F34" t="s">
        <v>35</v>
      </c>
      <c r="G34" s="6">
        <v>4.8142926998250499E-3</v>
      </c>
      <c r="H34" s="6">
        <v>3.35497601890573E-4</v>
      </c>
      <c r="I34" s="7">
        <v>0</v>
      </c>
      <c r="J34" s="9">
        <v>0</v>
      </c>
      <c r="K34" s="7">
        <v>401.27891578040902</v>
      </c>
      <c r="L34" s="7">
        <v>271.354495830769</v>
      </c>
      <c r="M34" s="7">
        <v>12.177891953424</v>
      </c>
    </row>
    <row r="35" spans="1:13" x14ac:dyDescent="0.2">
      <c r="A35">
        <v>1100000000</v>
      </c>
      <c r="B35" t="str">
        <f>VLOOKUP(A35,[1]adm2_risk!$A:$B,2, FALSE)</f>
        <v>Region XI (Davao Region)</v>
      </c>
      <c r="C35">
        <v>1108200000</v>
      </c>
      <c r="D35" t="str">
        <f>VLOOKUP(C35, [1]adm2_risk!$C:$D, 2, FALSE)</f>
        <v>Davao de Oro</v>
      </c>
      <c r="E35">
        <v>1108202000</v>
      </c>
      <c r="F35" t="s">
        <v>36</v>
      </c>
      <c r="G35" s="6">
        <v>1.9396363118129401E-3</v>
      </c>
      <c r="H35" s="6">
        <v>1.15705017829713E-4</v>
      </c>
      <c r="I35" s="7">
        <v>0</v>
      </c>
      <c r="J35" s="9">
        <v>0</v>
      </c>
      <c r="K35" s="7">
        <v>168.81185477660699</v>
      </c>
      <c r="L35" s="7">
        <v>110.52626070252499</v>
      </c>
      <c r="M35" s="7">
        <v>4.3162599851196104</v>
      </c>
    </row>
    <row r="36" spans="1:13" x14ac:dyDescent="0.2">
      <c r="A36">
        <v>1100000000</v>
      </c>
      <c r="B36" t="str">
        <f>VLOOKUP(A36,[1]adm2_risk!$A:$B,2, FALSE)</f>
        <v>Region XI (Davao Region)</v>
      </c>
      <c r="C36">
        <v>1108200000</v>
      </c>
      <c r="D36" t="str">
        <f>VLOOKUP(C36, [1]adm2_risk!$C:$D, 2, FALSE)</f>
        <v>Davao de Oro</v>
      </c>
      <c r="E36">
        <v>1108203000</v>
      </c>
      <c r="F36" t="s">
        <v>37</v>
      </c>
      <c r="G36" s="6">
        <v>7.5022001113775197E-3</v>
      </c>
      <c r="H36" s="6">
        <v>5.4154519629521396E-4</v>
      </c>
      <c r="I36" s="7">
        <v>0</v>
      </c>
      <c r="J36" s="9">
        <v>0</v>
      </c>
      <c r="K36" s="7">
        <v>307.51270417460597</v>
      </c>
      <c r="L36" s="7">
        <v>213.021112787275</v>
      </c>
      <c r="M36" s="7">
        <v>9.7895125134285799</v>
      </c>
    </row>
    <row r="37" spans="1:13" x14ac:dyDescent="0.2">
      <c r="A37">
        <v>1100000000</v>
      </c>
      <c r="B37" t="str">
        <f>VLOOKUP(A37,[1]adm2_risk!$A:$B,2, FALSE)</f>
        <v>Region XI (Davao Region)</v>
      </c>
      <c r="C37">
        <v>1108200000</v>
      </c>
      <c r="D37" t="str">
        <f>VLOOKUP(C37, [1]adm2_risk!$C:$D, 2, FALSE)</f>
        <v>Davao de Oro</v>
      </c>
      <c r="E37">
        <v>1108204000</v>
      </c>
      <c r="F37" t="s">
        <v>38</v>
      </c>
      <c r="G37" s="6">
        <v>4.2450605610237302E-3</v>
      </c>
      <c r="H37" s="6">
        <v>2.8370490238843998E-4</v>
      </c>
      <c r="I37" s="7">
        <v>0</v>
      </c>
      <c r="J37" s="9">
        <v>0</v>
      </c>
      <c r="K37" s="7">
        <v>321.58351063944502</v>
      </c>
      <c r="L37" s="7">
        <v>220.074892413307</v>
      </c>
      <c r="M37" s="7">
        <v>9.4215561034177107</v>
      </c>
    </row>
    <row r="38" spans="1:13" x14ac:dyDescent="0.2">
      <c r="A38">
        <v>1100000000</v>
      </c>
      <c r="B38" t="str">
        <f>VLOOKUP(A38,[1]adm2_risk!$A:$B,2, FALSE)</f>
        <v>Region XI (Davao Region)</v>
      </c>
      <c r="C38">
        <v>1108200000</v>
      </c>
      <c r="D38" t="str">
        <f>VLOOKUP(C38, [1]adm2_risk!$C:$D, 2, FALSE)</f>
        <v>Davao de Oro</v>
      </c>
      <c r="E38">
        <v>1108205000</v>
      </c>
      <c r="F38" t="s">
        <v>39</v>
      </c>
      <c r="G38" s="6">
        <v>2.2971097435939901E-3</v>
      </c>
      <c r="H38" s="6">
        <v>1.53292808139593E-4</v>
      </c>
      <c r="I38" s="7">
        <v>0</v>
      </c>
      <c r="J38" s="9">
        <v>0</v>
      </c>
      <c r="K38" s="7">
        <v>177.05110158350101</v>
      </c>
      <c r="L38" s="7">
        <v>116.137067713676</v>
      </c>
      <c r="M38" s="7">
        <v>5.0509980281995803</v>
      </c>
    </row>
    <row r="39" spans="1:13" x14ac:dyDescent="0.2">
      <c r="A39">
        <v>1100000000</v>
      </c>
      <c r="B39" t="str">
        <f>VLOOKUP(A39,[1]adm2_risk!$A:$B,2, FALSE)</f>
        <v>Region XI (Davao Region)</v>
      </c>
      <c r="C39">
        <v>1108200000</v>
      </c>
      <c r="D39" t="str">
        <f>VLOOKUP(C39, [1]adm2_risk!$C:$D, 2, FALSE)</f>
        <v>Davao de Oro</v>
      </c>
      <c r="E39">
        <v>1108206000</v>
      </c>
      <c r="F39" t="s">
        <v>40</v>
      </c>
      <c r="G39" s="6">
        <v>4.6849881456429397E-3</v>
      </c>
      <c r="H39" s="6">
        <v>3.2594816259245198E-4</v>
      </c>
      <c r="I39" s="7">
        <v>0</v>
      </c>
      <c r="J39" s="9">
        <v>0</v>
      </c>
      <c r="K39" s="7">
        <v>211.01630585618599</v>
      </c>
      <c r="L39" s="7">
        <v>141.67664320027001</v>
      </c>
      <c r="M39" s="7">
        <v>6.3618562374794703</v>
      </c>
    </row>
    <row r="40" spans="1:13" x14ac:dyDescent="0.2">
      <c r="A40">
        <v>1100000000</v>
      </c>
      <c r="B40" t="str">
        <f>VLOOKUP(A40,[1]adm2_risk!$A:$B,2, FALSE)</f>
        <v>Region XI (Davao Region)</v>
      </c>
      <c r="C40">
        <v>1108200000</v>
      </c>
      <c r="D40" t="str">
        <f>VLOOKUP(C40, [1]adm2_risk!$C:$D, 2, FALSE)</f>
        <v>Davao de Oro</v>
      </c>
      <c r="E40">
        <v>1108207000</v>
      </c>
      <c r="F40" t="s">
        <v>41</v>
      </c>
      <c r="G40" s="6">
        <v>1.58762164316835E-3</v>
      </c>
      <c r="H40" s="6">
        <v>1.0303446601084201E-4</v>
      </c>
      <c r="I40" s="7">
        <v>0</v>
      </c>
      <c r="J40" s="9">
        <v>0</v>
      </c>
      <c r="K40" s="7">
        <v>143.120794079782</v>
      </c>
      <c r="L40" s="7">
        <v>91.811976861681899</v>
      </c>
      <c r="M40" s="7">
        <v>3.9220069487026801</v>
      </c>
    </row>
    <row r="41" spans="1:13" x14ac:dyDescent="0.2">
      <c r="A41">
        <v>1100000000</v>
      </c>
      <c r="B41" t="str">
        <f>VLOOKUP(A41,[1]adm2_risk!$A:$B,2, FALSE)</f>
        <v>Region XI (Davao Region)</v>
      </c>
      <c r="C41">
        <v>1108200000</v>
      </c>
      <c r="D41" t="str">
        <f>VLOOKUP(C41, [1]adm2_risk!$C:$D, 2, FALSE)</f>
        <v>Davao de Oro</v>
      </c>
      <c r="E41">
        <v>1108208000</v>
      </c>
      <c r="F41" t="s">
        <v>42</v>
      </c>
      <c r="G41" s="6">
        <v>1.9474848569861699E-3</v>
      </c>
      <c r="H41" s="6">
        <v>1.25302108360422E-4</v>
      </c>
      <c r="I41" s="7">
        <v>0</v>
      </c>
      <c r="J41" s="9">
        <v>0</v>
      </c>
      <c r="K41" s="7">
        <v>95.552984944396101</v>
      </c>
      <c r="L41" s="7">
        <v>61.6335253714986</v>
      </c>
      <c r="M41" s="7">
        <v>2.6056573433549701</v>
      </c>
    </row>
    <row r="42" spans="1:13" x14ac:dyDescent="0.2">
      <c r="A42">
        <v>1100000000</v>
      </c>
      <c r="B42" t="str">
        <f>VLOOKUP(A42,[1]adm2_risk!$A:$B,2, FALSE)</f>
        <v>Region XI (Davao Region)</v>
      </c>
      <c r="C42">
        <v>1108200000</v>
      </c>
      <c r="D42" t="str">
        <f>VLOOKUP(C42, [1]adm2_risk!$C:$D, 2, FALSE)</f>
        <v>Davao de Oro</v>
      </c>
      <c r="E42">
        <v>1108209000</v>
      </c>
      <c r="F42" t="s">
        <v>43</v>
      </c>
      <c r="G42" s="6">
        <v>3.7632238906998702E-3</v>
      </c>
      <c r="H42" s="6">
        <v>2.5866259295406199E-4</v>
      </c>
      <c r="I42" s="7">
        <v>0</v>
      </c>
      <c r="J42" s="9">
        <v>0</v>
      </c>
      <c r="K42" s="7">
        <v>330.92731323981599</v>
      </c>
      <c r="L42" s="7">
        <v>220.857250633208</v>
      </c>
      <c r="M42" s="7">
        <v>9.8263332437318596</v>
      </c>
    </row>
    <row r="43" spans="1:13" x14ac:dyDescent="0.2">
      <c r="A43">
        <v>1100000000</v>
      </c>
      <c r="B43" t="str">
        <f>VLOOKUP(A43,[1]adm2_risk!$A:$B,2, FALSE)</f>
        <v>Region XI (Davao Region)</v>
      </c>
      <c r="C43">
        <v>1108200000</v>
      </c>
      <c r="D43" t="str">
        <f>VLOOKUP(C43, [1]adm2_risk!$C:$D, 2, FALSE)</f>
        <v>Davao de Oro</v>
      </c>
      <c r="E43">
        <v>1108210000</v>
      </c>
      <c r="F43" t="s">
        <v>44</v>
      </c>
      <c r="G43" s="6">
        <v>1.8532811105203501E-3</v>
      </c>
      <c r="H43" s="6">
        <v>1.22209333464834E-4</v>
      </c>
      <c r="I43" s="7">
        <v>0</v>
      </c>
      <c r="J43" s="9">
        <v>0</v>
      </c>
      <c r="K43" s="7">
        <v>106.201870942432</v>
      </c>
      <c r="L43" s="7">
        <v>68.572982967896607</v>
      </c>
      <c r="M43" s="7">
        <v>2.9671204071927102</v>
      </c>
    </row>
    <row r="44" spans="1:13" x14ac:dyDescent="0.2">
      <c r="A44">
        <v>1100000000</v>
      </c>
      <c r="B44" t="str">
        <f>VLOOKUP(A44,[1]adm2_risk!$A:$B,2, FALSE)</f>
        <v>Region XI (Davao Region)</v>
      </c>
      <c r="C44">
        <v>1108200000</v>
      </c>
      <c r="D44" t="str">
        <f>VLOOKUP(C44, [1]adm2_risk!$C:$D, 2, FALSE)</f>
        <v>Davao de Oro</v>
      </c>
      <c r="E44">
        <v>1108211000</v>
      </c>
      <c r="F44" t="s">
        <v>45</v>
      </c>
      <c r="G44" s="6">
        <v>7.8586678612722009E-3</v>
      </c>
      <c r="H44" s="6">
        <v>5.5314350671397501E-4</v>
      </c>
      <c r="I44" s="7">
        <v>0</v>
      </c>
      <c r="J44" s="9">
        <v>0</v>
      </c>
      <c r="K44" s="7">
        <v>624.45617265084604</v>
      </c>
      <c r="L44" s="7">
        <v>441.51399235799602</v>
      </c>
      <c r="M44" s="7">
        <v>19.615575035090998</v>
      </c>
    </row>
    <row r="45" spans="1:13" x14ac:dyDescent="0.2">
      <c r="A45">
        <v>1100000000</v>
      </c>
      <c r="B45" t="str">
        <f>VLOOKUP(A45,[1]adm2_risk!$A:$B,2, FALSE)</f>
        <v>Region XI (Davao Region)</v>
      </c>
      <c r="C45">
        <v>1108600000</v>
      </c>
      <c r="D45" t="str">
        <f>VLOOKUP(C45, [1]adm2_risk!$C:$D, 2, FALSE)</f>
        <v>Davao Occidental</v>
      </c>
      <c r="E45">
        <v>1108601000</v>
      </c>
      <c r="F45" t="s">
        <v>46</v>
      </c>
      <c r="G45" s="6">
        <v>5.1288730274318503E-2</v>
      </c>
      <c r="H45" s="6">
        <v>2.6311832488823102E-3</v>
      </c>
      <c r="I45" s="7">
        <v>0</v>
      </c>
      <c r="J45" s="9">
        <v>0</v>
      </c>
      <c r="K45" s="7">
        <v>1391.4214139051101</v>
      </c>
      <c r="L45" s="7">
        <v>1135.9368081282801</v>
      </c>
      <c r="M45" s="7">
        <v>34.494812392847003</v>
      </c>
    </row>
    <row r="46" spans="1:13" x14ac:dyDescent="0.2">
      <c r="A46">
        <v>1100000000</v>
      </c>
      <c r="B46" t="str">
        <f>VLOOKUP(A46,[1]adm2_risk!$A:$B,2, FALSE)</f>
        <v>Region XI (Davao Region)</v>
      </c>
      <c r="C46">
        <v>1108600000</v>
      </c>
      <c r="D46" t="str">
        <f>VLOOKUP(C46, [1]adm2_risk!$C:$D, 2, FALSE)</f>
        <v>Davao Occidental</v>
      </c>
      <c r="E46">
        <v>1108602000</v>
      </c>
      <c r="F46" t="s">
        <v>47</v>
      </c>
      <c r="G46" s="6">
        <v>0.105244743389031</v>
      </c>
      <c r="H46" s="6">
        <v>4.8601615721162996E-3</v>
      </c>
      <c r="I46" s="7">
        <v>163</v>
      </c>
      <c r="J46" s="9">
        <v>1.22124822057391E-2</v>
      </c>
      <c r="K46" s="7">
        <v>2844.7671444501402</v>
      </c>
      <c r="L46" s="7">
        <v>2436.28165832385</v>
      </c>
      <c r="M46" s="7">
        <v>64.868576503036195</v>
      </c>
    </row>
    <row r="47" spans="1:13" x14ac:dyDescent="0.2">
      <c r="A47">
        <v>1100000000</v>
      </c>
      <c r="B47" t="str">
        <f>VLOOKUP(A47,[1]adm2_risk!$A:$B,2, FALSE)</f>
        <v>Region XI (Davao Region)</v>
      </c>
      <c r="C47">
        <v>1108600000</v>
      </c>
      <c r="D47" t="str">
        <f>VLOOKUP(C47, [1]adm2_risk!$C:$D, 2, FALSE)</f>
        <v>Davao Occidental</v>
      </c>
      <c r="E47">
        <v>1108603000</v>
      </c>
      <c r="F47" t="s">
        <v>48</v>
      </c>
      <c r="G47" s="6">
        <v>5.9866919168098602E-2</v>
      </c>
      <c r="H47" s="6">
        <v>3.4288007953194701E-3</v>
      </c>
      <c r="I47" s="7">
        <v>0</v>
      </c>
      <c r="J47" s="9">
        <v>0</v>
      </c>
      <c r="K47" s="7">
        <v>4717.1642483596297</v>
      </c>
      <c r="L47" s="7">
        <v>3849.3968268480398</v>
      </c>
      <c r="M47" s="7">
        <v>130.19156619827999</v>
      </c>
    </row>
    <row r="48" spans="1:13" x14ac:dyDescent="0.2">
      <c r="A48">
        <v>1100000000</v>
      </c>
      <c r="B48" t="str">
        <f>VLOOKUP(A48,[1]adm2_risk!$A:$B,2, FALSE)</f>
        <v>Region XI (Davao Region)</v>
      </c>
      <c r="C48">
        <v>1108600000</v>
      </c>
      <c r="D48" t="str">
        <f>VLOOKUP(C48, [1]adm2_risk!$C:$D, 2, FALSE)</f>
        <v>Davao Occidental</v>
      </c>
      <c r="E48">
        <v>1108604000</v>
      </c>
      <c r="F48" t="s">
        <v>49</v>
      </c>
      <c r="G48" s="6">
        <v>5.2326348685388199E-2</v>
      </c>
      <c r="H48" s="6">
        <v>3.3960496365414302E-3</v>
      </c>
      <c r="I48" s="7">
        <v>0</v>
      </c>
      <c r="J48" s="9">
        <v>0</v>
      </c>
      <c r="K48" s="7">
        <v>2014.3960833321701</v>
      </c>
      <c r="L48" s="7">
        <v>1614.60843507857</v>
      </c>
      <c r="M48" s="7">
        <v>62.371847624719898</v>
      </c>
    </row>
    <row r="49" spans="1:13" x14ac:dyDescent="0.2">
      <c r="A49">
        <v>1100000000</v>
      </c>
      <c r="B49" t="str">
        <f>VLOOKUP(A49,[1]adm2_risk!$A:$B,2, FALSE)</f>
        <v>Region XI (Davao Region)</v>
      </c>
      <c r="C49">
        <v>1108600000</v>
      </c>
      <c r="D49" t="str">
        <f>VLOOKUP(C49, [1]adm2_risk!$C:$D, 2, FALSE)</f>
        <v>Davao Occidental</v>
      </c>
      <c r="E49">
        <v>1108605000</v>
      </c>
      <c r="F49" t="s">
        <v>50</v>
      </c>
      <c r="G49" s="6">
        <v>0.14788179211088501</v>
      </c>
      <c r="H49" s="6">
        <v>1.05662103211395E-2</v>
      </c>
      <c r="I49" s="7">
        <v>534</v>
      </c>
      <c r="J49" s="9">
        <v>8.2229750538959007E-2</v>
      </c>
      <c r="K49" s="7">
        <v>1989.2265794423399</v>
      </c>
      <c r="L49" s="7">
        <v>1645.3483883439501</v>
      </c>
      <c r="M49" s="7">
        <v>68.616969825480197</v>
      </c>
    </row>
    <row r="50" spans="1:13" x14ac:dyDescent="0.2">
      <c r="A50">
        <v>1100000000</v>
      </c>
      <c r="B50" t="str">
        <f>VLOOKUP(A50,[1]adm2_risk!$A:$B,2, FALSE)</f>
        <v>Region XI (Davao Region)</v>
      </c>
      <c r="C50">
        <v>1130700000</v>
      </c>
      <c r="D50" s="5" t="s">
        <v>109</v>
      </c>
      <c r="E50">
        <v>1130700000</v>
      </c>
      <c r="F50" t="s">
        <v>51</v>
      </c>
      <c r="G50" s="6">
        <v>1.0519245687381501E-2</v>
      </c>
      <c r="H50" s="6">
        <v>7.7107403121386099E-4</v>
      </c>
      <c r="I50" s="7">
        <v>0</v>
      </c>
      <c r="J50" s="9">
        <v>0</v>
      </c>
      <c r="K50" s="7">
        <v>15731.4385003151</v>
      </c>
      <c r="L50" s="7">
        <v>11051.998268482899</v>
      </c>
      <c r="M50" s="7">
        <v>512.05098727834502</v>
      </c>
    </row>
    <row r="51" spans="1:13" x14ac:dyDescent="0.2">
      <c r="A51">
        <v>1200000000</v>
      </c>
      <c r="B51" t="str">
        <f>VLOOKUP(A51,[1]adm2_risk!$A:$B,2, FALSE)</f>
        <v>Region XII (SOCCSKSARGEN)</v>
      </c>
      <c r="C51">
        <v>1204700000</v>
      </c>
      <c r="D51" t="str">
        <f>VLOOKUP(C51, [1]adm2_risk!$C:$D, 2, FALSE)</f>
        <v>Cotabato</v>
      </c>
      <c r="E51">
        <v>1204701000</v>
      </c>
      <c r="F51" t="s">
        <v>52</v>
      </c>
      <c r="G51" s="6">
        <v>3.3254831108938299E-3</v>
      </c>
      <c r="H51" s="6">
        <v>1.83299290026672E-4</v>
      </c>
      <c r="I51" s="7">
        <v>0</v>
      </c>
      <c r="J51" s="9">
        <v>0</v>
      </c>
      <c r="K51" s="7">
        <v>247.461739253639</v>
      </c>
      <c r="L51" s="7">
        <v>172.23004661320701</v>
      </c>
      <c r="M51" s="7">
        <v>6.0708724856833696</v>
      </c>
    </row>
    <row r="52" spans="1:13" x14ac:dyDescent="0.2">
      <c r="A52">
        <v>1200000000</v>
      </c>
      <c r="B52" t="str">
        <f>VLOOKUP(A52,[1]adm2_risk!$A:$B,2, FALSE)</f>
        <v>Region XII (SOCCSKSARGEN)</v>
      </c>
      <c r="C52">
        <v>1204700000</v>
      </c>
      <c r="D52" t="str">
        <f>VLOOKUP(C52, [1]adm2_risk!$C:$D, 2, FALSE)</f>
        <v>Cotabato</v>
      </c>
      <c r="E52">
        <v>1204702000</v>
      </c>
      <c r="F52" t="s">
        <v>5</v>
      </c>
      <c r="G52" s="6">
        <v>1.7508641663622499E-2</v>
      </c>
      <c r="H52" s="6">
        <v>1.1936958502081999E-3</v>
      </c>
      <c r="I52" s="7">
        <v>0</v>
      </c>
      <c r="J52" s="9">
        <v>0</v>
      </c>
      <c r="K52" s="7">
        <v>1111.3450894211001</v>
      </c>
      <c r="L52" s="7">
        <v>829.35960255614395</v>
      </c>
      <c r="M52" s="7">
        <v>34.822495342273697</v>
      </c>
    </row>
    <row r="53" spans="1:13" x14ac:dyDescent="0.2">
      <c r="A53">
        <v>1200000000</v>
      </c>
      <c r="B53" t="str">
        <f>VLOOKUP(A53,[1]adm2_risk!$A:$B,2, FALSE)</f>
        <v>Region XII (SOCCSKSARGEN)</v>
      </c>
      <c r="C53">
        <v>1204700000</v>
      </c>
      <c r="D53" t="str">
        <f>VLOOKUP(C53, [1]adm2_risk!$C:$D, 2, FALSE)</f>
        <v>Cotabato</v>
      </c>
      <c r="E53">
        <v>1204703000</v>
      </c>
      <c r="F53" t="s">
        <v>53</v>
      </c>
      <c r="G53" s="6">
        <v>3.9781610017564702E-2</v>
      </c>
      <c r="H53" s="6">
        <v>3.2684681356364002E-3</v>
      </c>
      <c r="I53" s="7">
        <v>0</v>
      </c>
      <c r="J53" s="9">
        <v>0</v>
      </c>
      <c r="K53" s="7">
        <v>3252.6904999323601</v>
      </c>
      <c r="L53" s="7">
        <v>2424.2628978288299</v>
      </c>
      <c r="M53" s="7">
        <v>121.63277319957299</v>
      </c>
    </row>
    <row r="54" spans="1:13" x14ac:dyDescent="0.2">
      <c r="A54">
        <v>1200000000</v>
      </c>
      <c r="B54" t="str">
        <f>VLOOKUP(A54,[1]adm2_risk!$A:$B,2, FALSE)</f>
        <v>Region XII (SOCCSKSARGEN)</v>
      </c>
      <c r="C54">
        <v>1204700000</v>
      </c>
      <c r="D54" t="str">
        <f>VLOOKUP(C54, [1]adm2_risk!$C:$D, 2, FALSE)</f>
        <v>Cotabato</v>
      </c>
      <c r="E54">
        <v>1204704000</v>
      </c>
      <c r="F54" t="s">
        <v>54</v>
      </c>
      <c r="G54" s="6">
        <v>2.9796417327917098E-2</v>
      </c>
      <c r="H54" s="6">
        <v>2.3434857821662001E-3</v>
      </c>
      <c r="I54" s="7">
        <v>0</v>
      </c>
      <c r="J54" s="9">
        <v>0</v>
      </c>
      <c r="K54" s="7">
        <v>4426.3864545249598</v>
      </c>
      <c r="L54" s="7">
        <v>3285.1770108259602</v>
      </c>
      <c r="M54" s="7">
        <v>158.60008727966201</v>
      </c>
    </row>
    <row r="55" spans="1:13" x14ac:dyDescent="0.2">
      <c r="A55">
        <v>1200000000</v>
      </c>
      <c r="B55" t="str">
        <f>VLOOKUP(A55,[1]adm2_risk!$A:$B,2, FALSE)</f>
        <v>Region XII (SOCCSKSARGEN)</v>
      </c>
      <c r="C55">
        <v>1204700000</v>
      </c>
      <c r="D55" t="str">
        <f>VLOOKUP(C55, [1]adm2_risk!$C:$D, 2, FALSE)</f>
        <v>Cotabato</v>
      </c>
      <c r="E55">
        <v>1204705000</v>
      </c>
      <c r="F55" t="s">
        <v>55</v>
      </c>
      <c r="G55" s="6">
        <v>1.44887771706951E-2</v>
      </c>
      <c r="H55" s="6">
        <v>1.0773534229599399E-3</v>
      </c>
      <c r="I55" s="7">
        <v>0</v>
      </c>
      <c r="J55" s="9">
        <v>0</v>
      </c>
      <c r="K55" s="7">
        <v>838.66991652758099</v>
      </c>
      <c r="L55" s="7">
        <v>603.104909121623</v>
      </c>
      <c r="M55" s="7">
        <v>28.030581358571801</v>
      </c>
    </row>
    <row r="56" spans="1:13" x14ac:dyDescent="0.2">
      <c r="A56">
        <v>1200000000</v>
      </c>
      <c r="B56" t="str">
        <f>VLOOKUP(A56,[1]adm2_risk!$A:$B,2, FALSE)</f>
        <v>Region XII (SOCCSKSARGEN)</v>
      </c>
      <c r="C56">
        <v>1204700000</v>
      </c>
      <c r="D56" t="str">
        <f>VLOOKUP(C56, [1]adm2_risk!$C:$D, 2, FALSE)</f>
        <v>Cotabato</v>
      </c>
      <c r="E56">
        <v>1204706000</v>
      </c>
      <c r="F56" t="s">
        <v>56</v>
      </c>
      <c r="G56" s="6">
        <v>1.2385416838835E-2</v>
      </c>
      <c r="H56" s="6">
        <v>8.6286493063487903E-4</v>
      </c>
      <c r="I56" s="7">
        <v>0</v>
      </c>
      <c r="J56" s="9">
        <v>0</v>
      </c>
      <c r="K56" s="7">
        <v>489.24453542069602</v>
      </c>
      <c r="L56" s="7">
        <v>354.65641894075998</v>
      </c>
      <c r="M56" s="7">
        <v>15.422847770167801</v>
      </c>
    </row>
    <row r="57" spans="1:13" x14ac:dyDescent="0.2">
      <c r="A57">
        <v>1200000000</v>
      </c>
      <c r="B57" t="str">
        <f>VLOOKUP(A57,[1]adm2_risk!$A:$B,2, FALSE)</f>
        <v>Region XII (SOCCSKSARGEN)</v>
      </c>
      <c r="C57">
        <v>1204700000</v>
      </c>
      <c r="D57" t="str">
        <f>VLOOKUP(C57, [1]adm2_risk!$C:$D, 2, FALSE)</f>
        <v>Cotabato</v>
      </c>
      <c r="E57">
        <v>1204707000</v>
      </c>
      <c r="F57" t="s">
        <v>57</v>
      </c>
      <c r="G57" s="6">
        <v>3.09650268653179E-2</v>
      </c>
      <c r="H57" s="6">
        <v>2.3308788261230898E-3</v>
      </c>
      <c r="I57" s="7">
        <v>0</v>
      </c>
      <c r="J57" s="9">
        <v>0</v>
      </c>
      <c r="K57" s="7">
        <v>2943.7226501913201</v>
      </c>
      <c r="L57" s="7">
        <v>2225.56530683954</v>
      </c>
      <c r="M57" s="7">
        <v>102.209036525497</v>
      </c>
    </row>
    <row r="58" spans="1:13" x14ac:dyDescent="0.2">
      <c r="A58">
        <v>1200000000</v>
      </c>
      <c r="B58" t="str">
        <f>VLOOKUP(A58,[1]adm2_risk!$A:$B,2, FALSE)</f>
        <v>Region XII (SOCCSKSARGEN)</v>
      </c>
      <c r="C58">
        <v>1204700000</v>
      </c>
      <c r="D58" t="str">
        <f>VLOOKUP(C58, [1]adm2_risk!$C:$D, 2, FALSE)</f>
        <v>Cotabato</v>
      </c>
      <c r="E58">
        <v>1204708000</v>
      </c>
      <c r="F58" t="s">
        <v>58</v>
      </c>
      <c r="G58" s="6">
        <v>2.6595835671590299E-2</v>
      </c>
      <c r="H58" s="6">
        <v>2.0768188765099699E-3</v>
      </c>
      <c r="I58" s="7">
        <v>0</v>
      </c>
      <c r="J58" s="9">
        <v>0</v>
      </c>
      <c r="K58" s="7">
        <v>2364.78564471958</v>
      </c>
      <c r="L58" s="7">
        <v>1760.98221167262</v>
      </c>
      <c r="M58" s="7">
        <v>84.2461577256271</v>
      </c>
    </row>
    <row r="59" spans="1:13" x14ac:dyDescent="0.2">
      <c r="A59">
        <v>1200000000</v>
      </c>
      <c r="B59" t="str">
        <f>VLOOKUP(A59,[1]adm2_risk!$A:$B,2, FALSE)</f>
        <v>Region XII (SOCCSKSARGEN)</v>
      </c>
      <c r="C59">
        <v>1204700000</v>
      </c>
      <c r="D59" t="str">
        <f>VLOOKUP(C59, [1]adm2_risk!$C:$D, 2, FALSE)</f>
        <v>Cotabato</v>
      </c>
      <c r="E59">
        <v>1204709000</v>
      </c>
      <c r="F59" t="s">
        <v>59</v>
      </c>
      <c r="G59" s="6">
        <v>2.6317073712939499E-2</v>
      </c>
      <c r="H59" s="6">
        <v>2.0366221540823802E-3</v>
      </c>
      <c r="I59" s="7">
        <v>0</v>
      </c>
      <c r="J59" s="9">
        <v>0</v>
      </c>
      <c r="K59" s="7">
        <v>2640.7383662467801</v>
      </c>
      <c r="L59" s="7">
        <v>1947.3387967470201</v>
      </c>
      <c r="M59" s="7">
        <v>92.900519558467593</v>
      </c>
    </row>
    <row r="60" spans="1:13" x14ac:dyDescent="0.2">
      <c r="A60">
        <v>1200000000</v>
      </c>
      <c r="B60" t="str">
        <f>VLOOKUP(A60,[1]adm2_risk!$A:$B,2, FALSE)</f>
        <v>Region XII (SOCCSKSARGEN)</v>
      </c>
      <c r="C60">
        <v>1204700000</v>
      </c>
      <c r="D60" t="str">
        <f>VLOOKUP(C60, [1]adm2_risk!$C:$D, 2, FALSE)</f>
        <v>Cotabato</v>
      </c>
      <c r="E60">
        <v>1204710000</v>
      </c>
      <c r="F60" t="s">
        <v>60</v>
      </c>
      <c r="G60" s="6">
        <v>5.4292361943214802E-2</v>
      </c>
      <c r="H60" s="6">
        <v>4.4393583686612196E-3</v>
      </c>
      <c r="I60" s="7">
        <v>0</v>
      </c>
      <c r="J60" s="9">
        <v>0</v>
      </c>
      <c r="K60" s="7">
        <v>5180.3751667327197</v>
      </c>
      <c r="L60" s="7">
        <v>3946.78025747418</v>
      </c>
      <c r="M60" s="7">
        <v>194.92778660954599</v>
      </c>
    </row>
    <row r="61" spans="1:13" x14ac:dyDescent="0.2">
      <c r="A61">
        <v>1200000000</v>
      </c>
      <c r="B61" t="str">
        <f>VLOOKUP(A61,[1]adm2_risk!$A:$B,2, FALSE)</f>
        <v>Region XII (SOCCSKSARGEN)</v>
      </c>
      <c r="C61">
        <v>1204700000</v>
      </c>
      <c r="D61" t="str">
        <f>VLOOKUP(C61, [1]adm2_risk!$C:$D, 2, FALSE)</f>
        <v>Cotabato</v>
      </c>
      <c r="E61">
        <v>1204711000</v>
      </c>
      <c r="F61" t="s">
        <v>61</v>
      </c>
      <c r="G61" s="6">
        <v>1.54828879849846E-2</v>
      </c>
      <c r="H61" s="6">
        <v>1.14681484799966E-3</v>
      </c>
      <c r="I61" s="7">
        <v>0</v>
      </c>
      <c r="J61" s="9">
        <v>0</v>
      </c>
      <c r="K61" s="7">
        <v>838.02712947489601</v>
      </c>
      <c r="L61" s="7">
        <v>604.31092293102301</v>
      </c>
      <c r="M61" s="7">
        <v>27.938703326967701</v>
      </c>
    </row>
    <row r="62" spans="1:13" x14ac:dyDescent="0.2">
      <c r="A62">
        <v>1200000000</v>
      </c>
      <c r="B62" t="str">
        <f>VLOOKUP(A62,[1]adm2_risk!$A:$B,2, FALSE)</f>
        <v>Region XII (SOCCSKSARGEN)</v>
      </c>
      <c r="C62">
        <v>1204700000</v>
      </c>
      <c r="D62" t="str">
        <f>VLOOKUP(C62, [1]adm2_risk!$C:$D, 2, FALSE)</f>
        <v>Cotabato</v>
      </c>
      <c r="E62">
        <v>1204712000</v>
      </c>
      <c r="F62" t="s">
        <v>62</v>
      </c>
      <c r="G62" s="6">
        <v>3.5573596650082397E-2</v>
      </c>
      <c r="H62" s="6">
        <v>2.6270965686333901E-3</v>
      </c>
      <c r="I62" s="7">
        <v>0</v>
      </c>
      <c r="J62" s="9">
        <v>0</v>
      </c>
      <c r="K62" s="7">
        <v>1479.8822019915101</v>
      </c>
      <c r="L62" s="7">
        <v>1128.0266484568399</v>
      </c>
      <c r="M62" s="7">
        <v>50.595252815310502</v>
      </c>
    </row>
    <row r="63" spans="1:13" x14ac:dyDescent="0.2">
      <c r="A63">
        <v>1200000000</v>
      </c>
      <c r="B63" t="str">
        <f>VLOOKUP(A63,[1]adm2_risk!$A:$B,2, FALSE)</f>
        <v>Region XII (SOCCSKSARGEN)</v>
      </c>
      <c r="C63">
        <v>1204700000</v>
      </c>
      <c r="D63" t="str">
        <f>VLOOKUP(C63, [1]adm2_risk!$C:$D, 2, FALSE)</f>
        <v>Cotabato</v>
      </c>
      <c r="E63">
        <v>1204713000</v>
      </c>
      <c r="F63" t="s">
        <v>63</v>
      </c>
      <c r="G63" s="6">
        <v>1.7897041491654001E-2</v>
      </c>
      <c r="H63" s="6">
        <v>1.19579201902246E-3</v>
      </c>
      <c r="I63" s="7">
        <v>0</v>
      </c>
      <c r="J63" s="9">
        <v>0</v>
      </c>
      <c r="K63" s="7">
        <v>1021.1351743587001</v>
      </c>
      <c r="L63" s="7">
        <v>764.63290534898999</v>
      </c>
      <c r="M63" s="7">
        <v>31.450525892309798</v>
      </c>
    </row>
    <row r="64" spans="1:13" x14ac:dyDescent="0.2">
      <c r="A64">
        <v>1200000000</v>
      </c>
      <c r="B64" t="str">
        <f>VLOOKUP(A64,[1]adm2_risk!$A:$B,2, FALSE)</f>
        <v>Region XII (SOCCSKSARGEN)</v>
      </c>
      <c r="C64">
        <v>1204700000</v>
      </c>
      <c r="D64" t="str">
        <f>VLOOKUP(C64, [1]adm2_risk!$C:$D, 2, FALSE)</f>
        <v>Cotabato</v>
      </c>
      <c r="E64">
        <v>1204714000</v>
      </c>
      <c r="F64" t="s">
        <v>64</v>
      </c>
      <c r="G64" s="6">
        <v>5.3995944689832501E-2</v>
      </c>
      <c r="H64" s="6">
        <v>3.9626477877031403E-3</v>
      </c>
      <c r="I64" s="7">
        <v>0</v>
      </c>
      <c r="J64" s="9">
        <v>0</v>
      </c>
      <c r="K64" s="7">
        <v>3243.4841390704501</v>
      </c>
      <c r="L64" s="7">
        <v>2529.7344766074302</v>
      </c>
      <c r="M64" s="7">
        <v>111.24341134418999</v>
      </c>
    </row>
    <row r="65" spans="1:13" x14ac:dyDescent="0.2">
      <c r="A65">
        <v>1200000000</v>
      </c>
      <c r="B65" t="str">
        <f>VLOOKUP(A65,[1]adm2_risk!$A:$B,2, FALSE)</f>
        <v>Region XII (SOCCSKSARGEN)</v>
      </c>
      <c r="C65">
        <v>1204700000</v>
      </c>
      <c r="D65" t="str">
        <f>VLOOKUP(C65, [1]adm2_risk!$C:$D, 2, FALSE)</f>
        <v>Cotabato</v>
      </c>
      <c r="E65">
        <v>1204715000</v>
      </c>
      <c r="F65" t="s">
        <v>65</v>
      </c>
      <c r="G65" s="6">
        <v>1.14245349070408E-2</v>
      </c>
      <c r="H65" s="6">
        <v>8.0681979571796696E-4</v>
      </c>
      <c r="I65" s="7">
        <v>0</v>
      </c>
      <c r="J65" s="9">
        <v>0</v>
      </c>
      <c r="K65" s="7">
        <v>269.43968653880103</v>
      </c>
      <c r="L65" s="7">
        <v>191.92611831348401</v>
      </c>
      <c r="M65" s="7">
        <v>8.5337329793089296</v>
      </c>
    </row>
    <row r="66" spans="1:13" x14ac:dyDescent="0.2">
      <c r="A66">
        <v>1200000000</v>
      </c>
      <c r="B66" t="str">
        <f>VLOOKUP(A66,[1]adm2_risk!$A:$B,2, FALSE)</f>
        <v>Region XII (SOCCSKSARGEN)</v>
      </c>
      <c r="C66">
        <v>1204700000</v>
      </c>
      <c r="D66" t="str">
        <f>VLOOKUP(C66, [1]adm2_risk!$C:$D, 2, FALSE)</f>
        <v>Cotabato</v>
      </c>
      <c r="E66">
        <v>1204716000</v>
      </c>
      <c r="F66" t="s">
        <v>66</v>
      </c>
      <c r="G66" s="6">
        <v>3.8762516589493801E-3</v>
      </c>
      <c r="H66" s="6">
        <v>2.2034856147050801E-4</v>
      </c>
      <c r="I66" s="7">
        <v>0</v>
      </c>
      <c r="J66" s="9">
        <v>0</v>
      </c>
      <c r="K66" s="7">
        <v>181.330093544448</v>
      </c>
      <c r="L66" s="7">
        <v>125.182847116848</v>
      </c>
      <c r="M66" s="7">
        <v>4.5649611479844996</v>
      </c>
    </row>
    <row r="67" spans="1:13" x14ac:dyDescent="0.2">
      <c r="A67">
        <v>1200000000</v>
      </c>
      <c r="B67" t="str">
        <f>VLOOKUP(A67,[1]adm2_risk!$A:$B,2, FALSE)</f>
        <v>Region XII (SOCCSKSARGEN)</v>
      </c>
      <c r="C67">
        <v>1204700000</v>
      </c>
      <c r="D67" t="str">
        <f>VLOOKUP(C67, [1]adm2_risk!$C:$D, 2, FALSE)</f>
        <v>Cotabato</v>
      </c>
      <c r="E67">
        <v>1204717000</v>
      </c>
      <c r="F67" t="s">
        <v>67</v>
      </c>
      <c r="G67" s="6">
        <v>2.0208920882833201E-2</v>
      </c>
      <c r="H67" s="6">
        <v>1.4310904325926101E-3</v>
      </c>
      <c r="I67" s="7">
        <v>0</v>
      </c>
      <c r="J67" s="9">
        <v>0</v>
      </c>
      <c r="K67" s="7">
        <v>1057.3939968495499</v>
      </c>
      <c r="L67" s="7">
        <v>781.18264241079601</v>
      </c>
      <c r="M67" s="7">
        <v>34.180163892042003</v>
      </c>
    </row>
    <row r="68" spans="1:13" x14ac:dyDescent="0.2">
      <c r="A68">
        <v>1200000000</v>
      </c>
      <c r="B68" t="str">
        <f>VLOOKUP(A68,[1]adm2_risk!$A:$B,2, FALSE)</f>
        <v>Region XII (SOCCSKSARGEN)</v>
      </c>
      <c r="C68">
        <v>1204700000</v>
      </c>
      <c r="D68" t="str">
        <f>VLOOKUP(C68, [1]adm2_risk!$C:$D, 2, FALSE)</f>
        <v>Cotabato</v>
      </c>
      <c r="E68">
        <v>1204718000</v>
      </c>
      <c r="F68" t="s">
        <v>68</v>
      </c>
      <c r="G68" s="6">
        <v>6.2083853340701503E-3</v>
      </c>
      <c r="H68" s="6">
        <v>3.6644414591752199E-4</v>
      </c>
      <c r="I68" s="7">
        <v>0</v>
      </c>
      <c r="J68" s="9">
        <v>0</v>
      </c>
      <c r="K68" s="7">
        <v>354.84817445618398</v>
      </c>
      <c r="L68" s="7">
        <v>255.95460928206899</v>
      </c>
      <c r="M68" s="7">
        <v>9.5081262541219491</v>
      </c>
    </row>
    <row r="69" spans="1:13" x14ac:dyDescent="0.2">
      <c r="A69">
        <v>1200000000</v>
      </c>
      <c r="B69" t="str">
        <f>VLOOKUP(A69,[1]adm2_risk!$A:$B,2, FALSE)</f>
        <v>Region XII (SOCCSKSARGEN)</v>
      </c>
      <c r="C69">
        <v>1206300000</v>
      </c>
      <c r="D69" t="str">
        <f>VLOOKUP(C69, [1]adm2_risk!$C:$D, 2, FALSE)</f>
        <v>South Cotabato</v>
      </c>
      <c r="E69">
        <v>1206302000</v>
      </c>
      <c r="F69" t="s">
        <v>69</v>
      </c>
      <c r="G69" s="6">
        <v>0.13190097610417301</v>
      </c>
      <c r="H69" s="6">
        <v>1.12985766738051E-2</v>
      </c>
      <c r="I69" s="7">
        <v>0</v>
      </c>
      <c r="J69" s="9">
        <v>0</v>
      </c>
      <c r="K69" s="7">
        <v>12497.2826412009</v>
      </c>
      <c r="L69" s="7">
        <v>9964.7398374639397</v>
      </c>
      <c r="M69" s="7">
        <v>504.481448485398</v>
      </c>
    </row>
    <row r="70" spans="1:13" x14ac:dyDescent="0.2">
      <c r="A70">
        <v>1200000000</v>
      </c>
      <c r="B70" t="str">
        <f>VLOOKUP(A70,[1]adm2_risk!$A:$B,2, FALSE)</f>
        <v>Region XII (SOCCSKSARGEN)</v>
      </c>
      <c r="C70">
        <v>1206300000</v>
      </c>
      <c r="D70" t="str">
        <f>VLOOKUP(C70, [1]adm2_risk!$C:$D, 2, FALSE)</f>
        <v>South Cotabato</v>
      </c>
      <c r="E70">
        <v>1206306000</v>
      </c>
      <c r="F70" t="s">
        <v>70</v>
      </c>
      <c r="G70" s="6">
        <v>0.11792057073399501</v>
      </c>
      <c r="H70" s="6">
        <v>1.0292446167202599E-2</v>
      </c>
      <c r="I70" s="7">
        <v>0</v>
      </c>
      <c r="J70" s="9">
        <v>0</v>
      </c>
      <c r="K70" s="7">
        <v>23073.167773842499</v>
      </c>
      <c r="L70" s="7">
        <v>18122.324493491698</v>
      </c>
      <c r="M70" s="7">
        <v>939.82384441960596</v>
      </c>
    </row>
    <row r="71" spans="1:13" x14ac:dyDescent="0.2">
      <c r="A71">
        <v>1200000000</v>
      </c>
      <c r="B71" t="str">
        <f>VLOOKUP(A71,[1]adm2_risk!$A:$B,2, FALSE)</f>
        <v>Region XII (SOCCSKSARGEN)</v>
      </c>
      <c r="C71">
        <v>1206300000</v>
      </c>
      <c r="D71" t="str">
        <f>VLOOKUP(C71, [1]adm2_risk!$C:$D, 2, FALSE)</f>
        <v>South Cotabato</v>
      </c>
      <c r="E71">
        <v>1206311000</v>
      </c>
      <c r="F71" t="s">
        <v>71</v>
      </c>
      <c r="G71" s="6">
        <v>0.105895022430054</v>
      </c>
      <c r="H71" s="6">
        <v>9.1381560725361504E-3</v>
      </c>
      <c r="I71" s="7">
        <v>0</v>
      </c>
      <c r="J71" s="9">
        <v>0</v>
      </c>
      <c r="K71" s="7">
        <v>4824.0934034299498</v>
      </c>
      <c r="L71" s="7">
        <v>3799.3555445659199</v>
      </c>
      <c r="M71" s="7">
        <v>194.68841512538299</v>
      </c>
    </row>
    <row r="72" spans="1:13" x14ac:dyDescent="0.2">
      <c r="A72">
        <v>1200000000</v>
      </c>
      <c r="B72" t="str">
        <f>VLOOKUP(A72,[1]adm2_risk!$A:$B,2, FALSE)</f>
        <v>Region XII (SOCCSKSARGEN)</v>
      </c>
      <c r="C72">
        <v>1206300000</v>
      </c>
      <c r="D72" t="str">
        <f>VLOOKUP(C72, [1]adm2_risk!$C:$D, 2, FALSE)</f>
        <v>South Cotabato</v>
      </c>
      <c r="E72">
        <v>1206312000</v>
      </c>
      <c r="F72" t="s">
        <v>72</v>
      </c>
      <c r="G72" s="6">
        <v>0.179669854253831</v>
      </c>
      <c r="H72" s="6">
        <v>1.5931374739190599E-2</v>
      </c>
      <c r="I72" s="7">
        <v>44390</v>
      </c>
      <c r="J72" s="9">
        <v>0.54287740925545402</v>
      </c>
      <c r="K72" s="7">
        <v>30908.973116017001</v>
      </c>
      <c r="L72" s="7">
        <v>24900.159772524799</v>
      </c>
      <c r="M72" s="7">
        <v>1302.67664967414</v>
      </c>
    </row>
    <row r="73" spans="1:13" x14ac:dyDescent="0.2">
      <c r="A73">
        <v>1200000000</v>
      </c>
      <c r="B73" t="str">
        <f>VLOOKUP(A73,[1]adm2_risk!$A:$B,2, FALSE)</f>
        <v>Region XII (SOCCSKSARGEN)</v>
      </c>
      <c r="C73">
        <v>1206300000</v>
      </c>
      <c r="D73" t="str">
        <f>VLOOKUP(C73, [1]adm2_risk!$C:$D, 2, FALSE)</f>
        <v>South Cotabato</v>
      </c>
      <c r="E73">
        <v>1206313000</v>
      </c>
      <c r="F73" t="s">
        <v>73</v>
      </c>
      <c r="G73" s="6">
        <v>0.13609761578475299</v>
      </c>
      <c r="H73" s="6">
        <v>1.15227150069575E-2</v>
      </c>
      <c r="I73" s="7">
        <v>0</v>
      </c>
      <c r="J73" s="9">
        <v>0</v>
      </c>
      <c r="K73" s="7">
        <v>14046.2834876574</v>
      </c>
      <c r="L73" s="7">
        <v>11264.7472282488</v>
      </c>
      <c r="M73" s="7">
        <v>562.76940093980295</v>
      </c>
    </row>
    <row r="74" spans="1:13" x14ac:dyDescent="0.2">
      <c r="A74">
        <v>1200000000</v>
      </c>
      <c r="B74" t="str">
        <f>VLOOKUP(A74,[1]adm2_risk!$A:$B,2, FALSE)</f>
        <v>Region XII (SOCCSKSARGEN)</v>
      </c>
      <c r="C74">
        <v>1206300000</v>
      </c>
      <c r="D74" t="str">
        <f>VLOOKUP(C74, [1]adm2_risk!$C:$D, 2, FALSE)</f>
        <v>South Cotabato</v>
      </c>
      <c r="E74">
        <v>1206314000</v>
      </c>
      <c r="F74" t="s">
        <v>74</v>
      </c>
      <c r="G74" s="6">
        <v>0.100039461890708</v>
      </c>
      <c r="H74" s="6">
        <v>8.0777241577041897E-3</v>
      </c>
      <c r="I74" s="7">
        <v>0</v>
      </c>
      <c r="J74" s="9">
        <v>0</v>
      </c>
      <c r="K74" s="7">
        <v>4927.5364527309903</v>
      </c>
      <c r="L74" s="7">
        <v>3933.7482231014601</v>
      </c>
      <c r="M74" s="7">
        <v>187.99287432225</v>
      </c>
    </row>
    <row r="75" spans="1:13" x14ac:dyDescent="0.2">
      <c r="A75">
        <v>1200000000</v>
      </c>
      <c r="B75" t="str">
        <f>VLOOKUP(A75,[1]adm2_risk!$A:$B,2, FALSE)</f>
        <v>Region XII (SOCCSKSARGEN)</v>
      </c>
      <c r="C75">
        <v>1206300000</v>
      </c>
      <c r="D75" t="str">
        <f>VLOOKUP(C75, [1]adm2_risk!$C:$D, 2, FALSE)</f>
        <v>South Cotabato</v>
      </c>
      <c r="E75">
        <v>1206315000</v>
      </c>
      <c r="F75" t="s">
        <v>75</v>
      </c>
      <c r="G75" s="6">
        <v>9.64636468633258E-2</v>
      </c>
      <c r="H75" s="6">
        <v>8.1365775123698105E-3</v>
      </c>
      <c r="I75" s="7">
        <v>0</v>
      </c>
      <c r="J75" s="9">
        <v>0</v>
      </c>
      <c r="K75" s="7">
        <v>5055.7003256376001</v>
      </c>
      <c r="L75" s="7">
        <v>3957.9215360140802</v>
      </c>
      <c r="M75" s="7">
        <v>198.74404231714499</v>
      </c>
    </row>
    <row r="76" spans="1:13" x14ac:dyDescent="0.2">
      <c r="A76">
        <v>1200000000</v>
      </c>
      <c r="B76" t="str">
        <f>VLOOKUP(A76,[1]adm2_risk!$A:$B,2, FALSE)</f>
        <v>Region XII (SOCCSKSARGEN)</v>
      </c>
      <c r="C76">
        <v>1206300000</v>
      </c>
      <c r="D76" t="str">
        <f>VLOOKUP(C76, [1]adm2_risk!$C:$D, 2, FALSE)</f>
        <v>South Cotabato</v>
      </c>
      <c r="E76">
        <v>1206316000</v>
      </c>
      <c r="F76" t="s">
        <v>76</v>
      </c>
      <c r="G76" s="6">
        <v>0.115116531060848</v>
      </c>
      <c r="H76" s="6">
        <v>7.0879236819401999E-3</v>
      </c>
      <c r="I76" s="7">
        <v>0</v>
      </c>
      <c r="J76" s="9">
        <v>0</v>
      </c>
      <c r="K76" s="7">
        <v>10088.232677780001</v>
      </c>
      <c r="L76" s="7">
        <v>8459.8066463524901</v>
      </c>
      <c r="M76" s="7">
        <v>302.61890160043703</v>
      </c>
    </row>
    <row r="77" spans="1:13" x14ac:dyDescent="0.2">
      <c r="A77">
        <v>1200000000</v>
      </c>
      <c r="B77" t="str">
        <f>VLOOKUP(A77,[1]adm2_risk!$A:$B,2, FALSE)</f>
        <v>Region XII (SOCCSKSARGEN)</v>
      </c>
      <c r="C77">
        <v>1206300000</v>
      </c>
      <c r="D77" t="str">
        <f>VLOOKUP(C77, [1]adm2_risk!$C:$D, 2, FALSE)</f>
        <v>South Cotabato</v>
      </c>
      <c r="E77">
        <v>1206317000</v>
      </c>
      <c r="F77" t="s">
        <v>77</v>
      </c>
      <c r="G77" s="6">
        <v>0.122694871833604</v>
      </c>
      <c r="H77" s="6">
        <v>1.0165789554621701E-2</v>
      </c>
      <c r="I77" s="7">
        <v>0</v>
      </c>
      <c r="J77" s="9">
        <v>0</v>
      </c>
      <c r="K77" s="7">
        <v>8747.2508496212795</v>
      </c>
      <c r="L77" s="7">
        <v>6980.6499399259401</v>
      </c>
      <c r="M77" s="7">
        <v>341.98732640702701</v>
      </c>
    </row>
    <row r="78" spans="1:13" x14ac:dyDescent="0.2">
      <c r="A78">
        <v>1200000000</v>
      </c>
      <c r="B78" t="str">
        <f>VLOOKUP(A78,[1]adm2_risk!$A:$B,2, FALSE)</f>
        <v>Region XII (SOCCSKSARGEN)</v>
      </c>
      <c r="C78">
        <v>1206300000</v>
      </c>
      <c r="D78" t="str">
        <f>VLOOKUP(C78, [1]adm2_risk!$C:$D, 2, FALSE)</f>
        <v>South Cotabato</v>
      </c>
      <c r="E78">
        <v>1206318000</v>
      </c>
      <c r="F78" t="s">
        <v>78</v>
      </c>
      <c r="G78" s="6">
        <v>0.12475284299204099</v>
      </c>
      <c r="H78" s="6">
        <v>1.0867590542420501E-2</v>
      </c>
      <c r="I78" s="7">
        <v>0</v>
      </c>
      <c r="J78" s="9">
        <v>0</v>
      </c>
      <c r="K78" s="7">
        <v>5053.1319567955097</v>
      </c>
      <c r="L78" s="7">
        <v>4000.4301202151901</v>
      </c>
      <c r="M78" s="7">
        <v>206.45161753436099</v>
      </c>
    </row>
    <row r="79" spans="1:13" x14ac:dyDescent="0.2">
      <c r="A79">
        <v>1200000000</v>
      </c>
      <c r="B79" t="str">
        <f>VLOOKUP(A79,[1]adm2_risk!$A:$B,2, FALSE)</f>
        <v>Region XII (SOCCSKSARGEN)</v>
      </c>
      <c r="C79">
        <v>1206300000</v>
      </c>
      <c r="D79" t="str">
        <f>VLOOKUP(C79, [1]adm2_risk!$C:$D, 2, FALSE)</f>
        <v>South Cotabato</v>
      </c>
      <c r="E79">
        <v>1206319000</v>
      </c>
      <c r="F79" t="s">
        <v>79</v>
      </c>
      <c r="G79" s="6">
        <v>7.8218347438946401E-2</v>
      </c>
      <c r="H79" s="6">
        <v>3.7276705284527202E-3</v>
      </c>
      <c r="I79" s="7">
        <v>0</v>
      </c>
      <c r="J79" s="9">
        <v>0</v>
      </c>
      <c r="K79" s="7">
        <v>6582.8546729683403</v>
      </c>
      <c r="L79" s="7">
        <v>5569.1621150832598</v>
      </c>
      <c r="M79" s="7">
        <v>154.385202606398</v>
      </c>
    </row>
    <row r="80" spans="1:13" x14ac:dyDescent="0.2">
      <c r="A80">
        <v>1200000000</v>
      </c>
      <c r="B80" t="str">
        <f>VLOOKUP(A80,[1]adm2_risk!$A:$B,2, FALSE)</f>
        <v>Region XII (SOCCSKSARGEN)</v>
      </c>
      <c r="C80">
        <v>1206500000</v>
      </c>
      <c r="D80" t="str">
        <f>VLOOKUP(C80, [1]adm2_risk!$C:$D, 2, FALSE)</f>
        <v>Sultan Kudarat</v>
      </c>
      <c r="E80">
        <v>1206501000</v>
      </c>
      <c r="F80" t="s">
        <v>80</v>
      </c>
      <c r="G80" s="6">
        <v>7.3957642505500798E-2</v>
      </c>
      <c r="H80" s="6">
        <v>5.3184886132474499E-3</v>
      </c>
      <c r="I80" s="7">
        <v>0</v>
      </c>
      <c r="J80" s="9">
        <v>0</v>
      </c>
      <c r="K80" s="7">
        <v>6175.0416796723803</v>
      </c>
      <c r="L80" s="7">
        <v>4941.4629467029399</v>
      </c>
      <c r="M80" s="7">
        <v>210.56428268708001</v>
      </c>
    </row>
    <row r="81" spans="1:13" x14ac:dyDescent="0.2">
      <c r="A81">
        <v>1200000000</v>
      </c>
      <c r="B81" t="str">
        <f>VLOOKUP(A81,[1]adm2_risk!$A:$B,2, FALSE)</f>
        <v>Region XII (SOCCSKSARGEN)</v>
      </c>
      <c r="C81">
        <v>1206500000</v>
      </c>
      <c r="D81" t="str">
        <f>VLOOKUP(C81, [1]adm2_risk!$C:$D, 2, FALSE)</f>
        <v>Sultan Kudarat</v>
      </c>
      <c r="E81">
        <v>1206502000</v>
      </c>
      <c r="F81" t="s">
        <v>81</v>
      </c>
      <c r="G81" s="6">
        <v>6.3131546981473594E-2</v>
      </c>
      <c r="H81" s="6">
        <v>4.56513661760935E-3</v>
      </c>
      <c r="I81" s="7">
        <v>0</v>
      </c>
      <c r="J81" s="9">
        <v>0</v>
      </c>
      <c r="K81" s="7">
        <v>1554.1895354502799</v>
      </c>
      <c r="L81" s="7">
        <v>1216.8052921603601</v>
      </c>
      <c r="M81" s="7">
        <v>52.572113288389197</v>
      </c>
    </row>
    <row r="82" spans="1:13" x14ac:dyDescent="0.2">
      <c r="A82">
        <v>1200000000</v>
      </c>
      <c r="B82" t="str">
        <f>VLOOKUP(A82,[1]adm2_risk!$A:$B,2, FALSE)</f>
        <v>Region XII (SOCCSKSARGEN)</v>
      </c>
      <c r="C82">
        <v>1206500000</v>
      </c>
      <c r="D82" t="str">
        <f>VLOOKUP(C82, [1]adm2_risk!$C:$D, 2, FALSE)</f>
        <v>Sultan Kudarat</v>
      </c>
      <c r="E82">
        <v>1206503000</v>
      </c>
      <c r="F82" t="s">
        <v>82</v>
      </c>
      <c r="G82" s="6">
        <v>6.8162320799382198E-2</v>
      </c>
      <c r="H82" s="6">
        <v>5.6595630979716597E-3</v>
      </c>
      <c r="I82" s="7">
        <v>0</v>
      </c>
      <c r="J82" s="9">
        <v>0</v>
      </c>
      <c r="K82" s="7">
        <v>4781.7746595710896</v>
      </c>
      <c r="L82" s="7">
        <v>3687.4260601492601</v>
      </c>
      <c r="M82" s="7">
        <v>183.64716296608199</v>
      </c>
    </row>
    <row r="83" spans="1:13" x14ac:dyDescent="0.2">
      <c r="A83">
        <v>1200000000</v>
      </c>
      <c r="B83" t="str">
        <f>VLOOKUP(A83,[1]adm2_risk!$A:$B,2, FALSE)</f>
        <v>Region XII (SOCCSKSARGEN)</v>
      </c>
      <c r="C83">
        <v>1206500000</v>
      </c>
      <c r="D83" t="str">
        <f>VLOOKUP(C83, [1]adm2_risk!$C:$D, 2, FALSE)</f>
        <v>Sultan Kudarat</v>
      </c>
      <c r="E83">
        <v>1206504000</v>
      </c>
      <c r="F83" t="s">
        <v>83</v>
      </c>
      <c r="G83" s="6">
        <v>8.5576640808448803E-2</v>
      </c>
      <c r="H83" s="6">
        <v>7.38216914931762E-3</v>
      </c>
      <c r="I83" s="7">
        <v>0</v>
      </c>
      <c r="J83" s="9">
        <v>0</v>
      </c>
      <c r="K83" s="7">
        <v>9615.2508236851299</v>
      </c>
      <c r="L83" s="7">
        <v>7457.4320065871898</v>
      </c>
      <c r="M83" s="7">
        <v>384.41907628156599</v>
      </c>
    </row>
    <row r="84" spans="1:13" x14ac:dyDescent="0.2">
      <c r="A84">
        <v>1200000000</v>
      </c>
      <c r="B84" t="str">
        <f>VLOOKUP(A84,[1]adm2_risk!$A:$B,2, FALSE)</f>
        <v>Region XII (SOCCSKSARGEN)</v>
      </c>
      <c r="C84">
        <v>1206500000</v>
      </c>
      <c r="D84" t="str">
        <f>VLOOKUP(C84, [1]adm2_risk!$C:$D, 2, FALSE)</f>
        <v>Sultan Kudarat</v>
      </c>
      <c r="E84">
        <v>1206505000</v>
      </c>
      <c r="F84" t="s">
        <v>84</v>
      </c>
      <c r="G84" s="6">
        <v>2.3313724495435999E-2</v>
      </c>
      <c r="H84" s="6">
        <v>1.35029845168686E-3</v>
      </c>
      <c r="I84" s="7">
        <v>0</v>
      </c>
      <c r="J84" s="9">
        <v>0</v>
      </c>
      <c r="K84" s="7">
        <v>687.96779279958901</v>
      </c>
      <c r="L84" s="7">
        <v>535.043159076547</v>
      </c>
      <c r="M84" s="7">
        <v>18.798855044384499</v>
      </c>
    </row>
    <row r="85" spans="1:13" x14ac:dyDescent="0.2">
      <c r="A85">
        <v>1200000000</v>
      </c>
      <c r="B85" t="str">
        <f>VLOOKUP(A85,[1]adm2_risk!$A:$B,2, FALSE)</f>
        <v>Region XII (SOCCSKSARGEN)</v>
      </c>
      <c r="C85">
        <v>1206500000</v>
      </c>
      <c r="D85" t="str">
        <f>VLOOKUP(C85, [1]adm2_risk!$C:$D, 2, FALSE)</f>
        <v>Sultan Kudarat</v>
      </c>
      <c r="E85">
        <v>1206506000</v>
      </c>
      <c r="F85" t="s">
        <v>85</v>
      </c>
      <c r="G85" s="6">
        <v>3.1287468487415003E-2</v>
      </c>
      <c r="H85" s="6">
        <v>2.1445366807299202E-3</v>
      </c>
      <c r="I85" s="7">
        <v>0</v>
      </c>
      <c r="J85" s="9">
        <v>0</v>
      </c>
      <c r="K85" s="7">
        <v>2077.3493833580701</v>
      </c>
      <c r="L85" s="7">
        <v>1597.26585208763</v>
      </c>
      <c r="M85" s="7">
        <v>66.369121195229596</v>
      </c>
    </row>
    <row r="86" spans="1:13" x14ac:dyDescent="0.2">
      <c r="A86">
        <v>1200000000</v>
      </c>
      <c r="B86" t="str">
        <f>VLOOKUP(A86,[1]adm2_risk!$A:$B,2, FALSE)</f>
        <v>Region XII (SOCCSKSARGEN)</v>
      </c>
      <c r="C86">
        <v>1206500000</v>
      </c>
      <c r="D86" t="str">
        <f>VLOOKUP(C86, [1]adm2_risk!$C:$D, 2, FALSE)</f>
        <v>Sultan Kudarat</v>
      </c>
      <c r="E86">
        <v>1206507000</v>
      </c>
      <c r="F86" t="s">
        <v>86</v>
      </c>
      <c r="G86" s="6">
        <v>9.9791590577438596E-2</v>
      </c>
      <c r="H86" s="6">
        <v>8.3173592363585593E-3</v>
      </c>
      <c r="I86" s="7">
        <v>0</v>
      </c>
      <c r="J86" s="9">
        <v>0</v>
      </c>
      <c r="K86" s="7">
        <v>3357.52686681771</v>
      </c>
      <c r="L86" s="7">
        <v>2672.16587995084</v>
      </c>
      <c r="M86" s="7">
        <v>131.83846125551901</v>
      </c>
    </row>
    <row r="87" spans="1:13" x14ac:dyDescent="0.2">
      <c r="A87">
        <v>1200000000</v>
      </c>
      <c r="B87" t="str">
        <f>VLOOKUP(A87,[1]adm2_risk!$A:$B,2, FALSE)</f>
        <v>Region XII (SOCCSKSARGEN)</v>
      </c>
      <c r="C87">
        <v>1206500000</v>
      </c>
      <c r="D87" t="str">
        <f>VLOOKUP(C87, [1]adm2_risk!$C:$D, 2, FALSE)</f>
        <v>Sultan Kudarat</v>
      </c>
      <c r="E87">
        <v>1206508000</v>
      </c>
      <c r="F87" t="s">
        <v>87</v>
      </c>
      <c r="G87" s="6">
        <v>7.0720153818704307E-2</v>
      </c>
      <c r="H87" s="6">
        <v>6.00328129418064E-3</v>
      </c>
      <c r="I87" s="7">
        <v>0</v>
      </c>
      <c r="J87" s="9">
        <v>0</v>
      </c>
      <c r="K87" s="7">
        <v>4651.2552238302196</v>
      </c>
      <c r="L87" s="7">
        <v>3580.7491818898402</v>
      </c>
      <c r="M87" s="7">
        <v>182.433715248856</v>
      </c>
    </row>
    <row r="88" spans="1:13" x14ac:dyDescent="0.2">
      <c r="A88">
        <v>1200000000</v>
      </c>
      <c r="B88" t="str">
        <f>VLOOKUP(A88,[1]adm2_risk!$A:$B,2, FALSE)</f>
        <v>Region XII (SOCCSKSARGEN)</v>
      </c>
      <c r="C88">
        <v>1206500000</v>
      </c>
      <c r="D88" t="str">
        <f>VLOOKUP(C88, [1]adm2_risk!$C:$D, 2, FALSE)</f>
        <v>Sultan Kudarat</v>
      </c>
      <c r="E88">
        <v>1206509000</v>
      </c>
      <c r="F88" t="s">
        <v>88</v>
      </c>
      <c r="G88" s="6">
        <v>5.9658022069704997E-2</v>
      </c>
      <c r="H88" s="6">
        <v>3.8833533675938E-3</v>
      </c>
      <c r="I88" s="7">
        <v>0</v>
      </c>
      <c r="J88" s="9">
        <v>0</v>
      </c>
      <c r="K88" s="7">
        <v>2607.7027578899701</v>
      </c>
      <c r="L88" s="7">
        <v>2120.9266381191901</v>
      </c>
      <c r="M88" s="7">
        <v>81.643621200292102</v>
      </c>
    </row>
    <row r="89" spans="1:13" x14ac:dyDescent="0.2">
      <c r="A89">
        <v>1200000000</v>
      </c>
      <c r="B89" t="str">
        <f>VLOOKUP(A89,[1]adm2_risk!$A:$B,2, FALSE)</f>
        <v>Region XII (SOCCSKSARGEN)</v>
      </c>
      <c r="C89">
        <v>1206500000</v>
      </c>
      <c r="D89" t="str">
        <f>VLOOKUP(C89, [1]adm2_risk!$C:$D, 2, FALSE)</f>
        <v>Sultan Kudarat</v>
      </c>
      <c r="E89">
        <v>1206510000</v>
      </c>
      <c r="F89" t="s">
        <v>89</v>
      </c>
      <c r="G89" s="6">
        <v>8.4983430403277105E-2</v>
      </c>
      <c r="H89" s="6">
        <v>7.2973557339641596E-3</v>
      </c>
      <c r="I89" s="7">
        <v>0</v>
      </c>
      <c r="J89" s="9">
        <v>0</v>
      </c>
      <c r="K89" s="7">
        <v>4451.3074964150201</v>
      </c>
      <c r="L89" s="7">
        <v>3440.9102210095498</v>
      </c>
      <c r="M89" s="7">
        <v>176.73465852087801</v>
      </c>
    </row>
    <row r="90" spans="1:13" x14ac:dyDescent="0.2">
      <c r="A90">
        <v>1200000000</v>
      </c>
      <c r="B90" t="str">
        <f>VLOOKUP(A90,[1]adm2_risk!$A:$B,2, FALSE)</f>
        <v>Region XII (SOCCSKSARGEN)</v>
      </c>
      <c r="C90">
        <v>1206500000</v>
      </c>
      <c r="D90" t="str">
        <f>VLOOKUP(C90, [1]adm2_risk!$C:$D, 2, FALSE)</f>
        <v>Sultan Kudarat</v>
      </c>
      <c r="E90">
        <v>1206511000</v>
      </c>
      <c r="F90" t="s">
        <v>90</v>
      </c>
      <c r="G90" s="6">
        <v>8.6199867419903195E-2</v>
      </c>
      <c r="H90" s="6">
        <v>7.3830448188384199E-3</v>
      </c>
      <c r="I90" s="7">
        <v>0</v>
      </c>
      <c r="J90" s="9">
        <v>0</v>
      </c>
      <c r="K90" s="7">
        <v>10628.775621237701</v>
      </c>
      <c r="L90" s="7">
        <v>8224.0701266752803</v>
      </c>
      <c r="M90" s="7">
        <v>421.15102560100001</v>
      </c>
    </row>
    <row r="91" spans="1:13" x14ac:dyDescent="0.2">
      <c r="A91">
        <v>1200000000</v>
      </c>
      <c r="B91" t="str">
        <f>VLOOKUP(A91,[1]adm2_risk!$A:$B,2, FALSE)</f>
        <v>Region XII (SOCCSKSARGEN)</v>
      </c>
      <c r="C91">
        <v>1206500000</v>
      </c>
      <c r="D91" t="str">
        <f>VLOOKUP(C91, [1]adm2_risk!$C:$D, 2, FALSE)</f>
        <v>Sultan Kudarat</v>
      </c>
      <c r="E91">
        <v>1206512000</v>
      </c>
      <c r="F91" t="s">
        <v>91</v>
      </c>
      <c r="G91" s="6">
        <v>5.62376375026062E-2</v>
      </c>
      <c r="H91" s="6">
        <v>3.11241963989867E-3</v>
      </c>
      <c r="I91" s="7">
        <v>0</v>
      </c>
      <c r="J91" s="9">
        <v>0</v>
      </c>
      <c r="K91" s="7">
        <v>1719.3434025173301</v>
      </c>
      <c r="L91" s="7">
        <v>1403.10256000447</v>
      </c>
      <c r="M91" s="7">
        <v>45.886402751026097</v>
      </c>
    </row>
    <row r="92" spans="1:13" x14ac:dyDescent="0.2">
      <c r="A92">
        <v>1200000000</v>
      </c>
      <c r="B92" t="str">
        <f>VLOOKUP(A92,[1]adm2_risk!$A:$B,2, FALSE)</f>
        <v>Region XII (SOCCSKSARGEN)</v>
      </c>
      <c r="C92">
        <v>1208000000</v>
      </c>
      <c r="D92" t="str">
        <f>VLOOKUP(C92, [1]adm2_risk!$C:$D, 2, FALSE)</f>
        <v>Sarangani</v>
      </c>
      <c r="E92">
        <v>1208001000</v>
      </c>
      <c r="F92" t="s">
        <v>92</v>
      </c>
      <c r="G92" s="6">
        <v>0.18058850888643499</v>
      </c>
      <c r="H92" s="6">
        <v>1.4896639029448299E-2</v>
      </c>
      <c r="I92" s="7">
        <v>28752</v>
      </c>
      <c r="J92" s="9">
        <v>0.65366252898649602</v>
      </c>
      <c r="K92" s="7">
        <v>16439.6419390421</v>
      </c>
      <c r="L92" s="7">
        <v>13594.1193108672</v>
      </c>
      <c r="M92" s="7">
        <v>655.24356434931099</v>
      </c>
    </row>
    <row r="93" spans="1:13" x14ac:dyDescent="0.2">
      <c r="A93">
        <v>1200000000</v>
      </c>
      <c r="B93" t="str">
        <f>VLOOKUP(A93,[1]adm2_risk!$A:$B,2, FALSE)</f>
        <v>Region XII (SOCCSKSARGEN)</v>
      </c>
      <c r="C93">
        <v>1208000000</v>
      </c>
      <c r="D93" t="str">
        <f>VLOOKUP(C93, [1]adm2_risk!$C:$D, 2, FALSE)</f>
        <v>Sarangani</v>
      </c>
      <c r="E93">
        <v>1208002000</v>
      </c>
      <c r="F93" t="s">
        <v>93</v>
      </c>
      <c r="G93" s="6">
        <v>0.186653587838288</v>
      </c>
      <c r="H93" s="6">
        <v>1.30537170017326E-2</v>
      </c>
      <c r="I93" s="7">
        <v>22381</v>
      </c>
      <c r="J93" s="9">
        <v>0.53468870944622304</v>
      </c>
      <c r="K93" s="7">
        <v>15885.425174490099</v>
      </c>
      <c r="L93" s="7">
        <v>13562.746560137501</v>
      </c>
      <c r="M93" s="7">
        <v>546.40248625852303</v>
      </c>
    </row>
    <row r="94" spans="1:13" x14ac:dyDescent="0.2">
      <c r="A94">
        <v>1200000000</v>
      </c>
      <c r="B94" t="str">
        <f>VLOOKUP(A94,[1]adm2_risk!$A:$B,2, FALSE)</f>
        <v>Region XII (SOCCSKSARGEN)</v>
      </c>
      <c r="C94">
        <v>1208000000</v>
      </c>
      <c r="D94" t="str">
        <f>VLOOKUP(C94, [1]adm2_risk!$C:$D, 2, FALSE)</f>
        <v>Sarangani</v>
      </c>
      <c r="E94">
        <v>1208003000</v>
      </c>
      <c r="F94" t="s">
        <v>94</v>
      </c>
      <c r="G94" s="6">
        <v>0.15994456681233299</v>
      </c>
      <c r="H94" s="6">
        <v>1.31502807442109E-2</v>
      </c>
      <c r="I94" s="7">
        <v>7163</v>
      </c>
      <c r="J94" s="9">
        <v>0.30057488145692601</v>
      </c>
      <c r="K94" s="7">
        <v>7916.06571578479</v>
      </c>
      <c r="L94" s="7">
        <v>6522.3212482049803</v>
      </c>
      <c r="M94" s="7">
        <v>313.38434041529001</v>
      </c>
    </row>
    <row r="95" spans="1:13" x14ac:dyDescent="0.2">
      <c r="A95">
        <v>1200000000</v>
      </c>
      <c r="B95" t="str">
        <f>VLOOKUP(A95,[1]adm2_risk!$A:$B,2, FALSE)</f>
        <v>Region XII (SOCCSKSARGEN)</v>
      </c>
      <c r="C95">
        <v>1208000000</v>
      </c>
      <c r="D95" t="str">
        <f>VLOOKUP(C95, [1]adm2_risk!$C:$D, 2, FALSE)</f>
        <v>Sarangani</v>
      </c>
      <c r="E95">
        <v>1208004000</v>
      </c>
      <c r="F95" t="s">
        <v>95</v>
      </c>
      <c r="G95" s="6">
        <v>0.18045922431703301</v>
      </c>
      <c r="H95" s="6">
        <v>1.38963759113192E-2</v>
      </c>
      <c r="I95" s="7">
        <v>13271</v>
      </c>
      <c r="J95" s="9">
        <v>0.49702258342384198</v>
      </c>
      <c r="K95" s="7">
        <v>9938.8783784638599</v>
      </c>
      <c r="L95" s="7">
        <v>8275.1174271231903</v>
      </c>
      <c r="M95" s="7">
        <v>371.04713320813499</v>
      </c>
    </row>
    <row r="96" spans="1:13" x14ac:dyDescent="0.2">
      <c r="A96">
        <v>1200000000</v>
      </c>
      <c r="B96" t="str">
        <f>VLOOKUP(A96,[1]adm2_risk!$A:$B,2, FALSE)</f>
        <v>Region XII (SOCCSKSARGEN)</v>
      </c>
      <c r="C96">
        <v>1208000000</v>
      </c>
      <c r="D96" t="str">
        <f>VLOOKUP(C96, [1]adm2_risk!$C:$D, 2, FALSE)</f>
        <v>Sarangani</v>
      </c>
      <c r="E96">
        <v>1208005000</v>
      </c>
      <c r="F96" t="s">
        <v>96</v>
      </c>
      <c r="G96" s="6">
        <v>0.12346521734117701</v>
      </c>
      <c r="H96" s="6">
        <v>9.9668664719078197E-3</v>
      </c>
      <c r="I96" s="7">
        <v>0</v>
      </c>
      <c r="J96" s="9">
        <v>0</v>
      </c>
      <c r="K96" s="7">
        <v>4333.1576533990501</v>
      </c>
      <c r="L96" s="7">
        <v>3555.25710780697</v>
      </c>
      <c r="M96" s="7">
        <v>168.031401849894</v>
      </c>
    </row>
    <row r="97" spans="1:13" x14ac:dyDescent="0.2">
      <c r="A97">
        <v>1200000000</v>
      </c>
      <c r="B97" t="str">
        <f>VLOOKUP(A97,[1]adm2_risk!$A:$B,2, FALSE)</f>
        <v>Region XII (SOCCSKSARGEN)</v>
      </c>
      <c r="C97">
        <v>1208000000</v>
      </c>
      <c r="D97" t="str">
        <f>VLOOKUP(C97, [1]adm2_risk!$C:$D, 2, FALSE)</f>
        <v>Sarangani</v>
      </c>
      <c r="E97">
        <v>1208006000</v>
      </c>
      <c r="F97" t="s">
        <v>97</v>
      </c>
      <c r="G97" s="6">
        <v>0.159545917686778</v>
      </c>
      <c r="H97" s="6">
        <v>1.2001324788510201E-2</v>
      </c>
      <c r="I97" s="7">
        <v>9497</v>
      </c>
      <c r="J97" s="9">
        <v>0.37186264145033099</v>
      </c>
      <c r="K97" s="7">
        <v>8372.9051179305407</v>
      </c>
      <c r="L97" s="7">
        <v>7007.8361286857698</v>
      </c>
      <c r="M97" s="7">
        <v>306.50183377376197</v>
      </c>
    </row>
    <row r="98" spans="1:13" x14ac:dyDescent="0.2">
      <c r="A98">
        <v>1200000000</v>
      </c>
      <c r="B98" t="str">
        <f>VLOOKUP(A98,[1]adm2_risk!$A:$B,2, FALSE)</f>
        <v>Region XII (SOCCSKSARGEN)</v>
      </c>
      <c r="C98">
        <v>1208000000</v>
      </c>
      <c r="D98" t="str">
        <f>VLOOKUP(C98, [1]adm2_risk!$C:$D, 2, FALSE)</f>
        <v>Sarangani</v>
      </c>
      <c r="E98">
        <v>1208007000</v>
      </c>
      <c r="F98" t="s">
        <v>98</v>
      </c>
      <c r="G98" s="6">
        <v>0.104681325254982</v>
      </c>
      <c r="H98" s="6">
        <v>7.3804426212499196E-3</v>
      </c>
      <c r="I98" s="7">
        <v>0</v>
      </c>
      <c r="J98" s="9">
        <v>0</v>
      </c>
      <c r="K98" s="7">
        <v>10884.5556885434</v>
      </c>
      <c r="L98" s="7">
        <v>8880.4112126375603</v>
      </c>
      <c r="M98" s="7">
        <v>367.76745581688402</v>
      </c>
    </row>
    <row r="99" spans="1:13" x14ac:dyDescent="0.2">
      <c r="A99">
        <v>1200000000</v>
      </c>
      <c r="B99" t="str">
        <f>VLOOKUP(A99,[1]adm2_risk!$A:$B,2, FALSE)</f>
        <v>Region XII (SOCCSKSARGEN)</v>
      </c>
      <c r="C99">
        <v>1230800000</v>
      </c>
      <c r="D99" s="5" t="s">
        <v>109</v>
      </c>
      <c r="E99">
        <v>1230800000</v>
      </c>
      <c r="F99" t="s">
        <v>99</v>
      </c>
      <c r="G99" s="6">
        <v>0.23135224642628299</v>
      </c>
      <c r="H99" s="6">
        <v>2.0844489400181999E-2</v>
      </c>
      <c r="I99" s="7">
        <v>276062</v>
      </c>
      <c r="J99" s="9">
        <v>0.961181848884618</v>
      </c>
      <c r="K99" s="7">
        <v>137724.21067515999</v>
      </c>
      <c r="L99" s="7">
        <v>113236.70057179101</v>
      </c>
      <c r="M99" s="7">
        <v>5986.7666451156601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adm3_risk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Dimasaka</cp:lastModifiedBy>
  <dcterms:created xsi:type="dcterms:W3CDTF">2026-06-11T10:42:13Z</dcterms:created>
  <dcterms:modified xsi:type="dcterms:W3CDTF">2026-06-11T10:46:01Z</dcterms:modified>
</cp:coreProperties>
</file>